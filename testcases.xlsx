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83" documentId="11_75BCC0E3648942E3F9B3ABC73D174D462146C19F" xr6:coauthVersionLast="47" xr6:coauthVersionMax="47" xr10:uidLastSave="{B7784DD6-5403-4993-9B56-0D0A90D642B8}"/>
  <bookViews>
    <workbookView xWindow="-103" yWindow="-103" windowWidth="22149" windowHeight="1320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<sst xmlns="http://schemas.openxmlformats.org/spreadsheetml/2006/main" count="4295" uniqueCount="934">
  <si>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</si>
  <si>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</si>
  <si>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</si>
  <si>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</si>
  <si>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</si>
  <si>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</si>
  <si>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</si>
  <si>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</si>
  <si>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</si>
  <si>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</si>
  <si>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</si>
  <si>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</si>
  <si>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</si>
  <si>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</si>
  <si>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</si>
  <si>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</si>
  <si>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</si>
  <si>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</si>
  <si>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</si>
  <si>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</si>
  <si>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</si>
  <si>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</si>
  <si>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</si>
  <si>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</si>
  <si>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</si>
  <si>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</si>
  <si>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</si>
  <si>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</si>
  <si>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</si>
  <si>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</si>
  <si>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</si>
  <si>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</si>
  <si>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</si>
  <si>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</si>
  <si>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</si>
  <si>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</si>
  <si>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</si>
  <si>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</si>
  <si>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</si>
  <si>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</si>
  <si>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</si>
  <si>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</si>
  <si>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</si>
  <si>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</si>
  <si>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</si>
  <si>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</si>
  <si>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</si>
  <si>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</si>
  <si>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</si>
  <si>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</si>
  <si>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</si>
  <si>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</si>
  <si>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</si>
  <si>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</si>
  <si>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</si>
  <si>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</si>
  <si>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</si>
  <si>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</si>
  <si>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</si>
  <si>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</si>
  <si>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</si>
  <si>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</si>
  <si>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</si>
  <si>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</si>
  <si>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</si>
  <si>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</si>
  <si>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</si>
  <si>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</si>
  <si>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</si>
  <si>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</si>
  <si>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</si>
  <si>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</si>
  <si>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</si>
  <si>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</si>
  <si>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</si>
  <si>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</si>
  <si>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</si>
  <si>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</si>
  <si>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</si>
  <si>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</si>
  <si>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</si>
  <si>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</si>
  <si>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</si>
  <si>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</si>
  <si>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</si>
  <si>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</si>
  <si>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</si>
  <si>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</si>
  <si>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</si>
  <si>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</si>
  <si>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</si>
  <si>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</si>
  <si>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</si>
  <si>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</si>
  <si>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</si>
  <si>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</si>
  <si>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</si>
  <si>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</si>
  <si>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</si>
  <si>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</si>
  <si>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</si>
  <si>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</si>
  <si>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</si>
  <si>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</si>
  <si>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</si>
  <si>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</si>
  <si>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</si>
  <si>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</si>
  <si>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</si>
  <si>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</si>
  <si>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</si>
  <si>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</si>
  <si>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</si>
  <si>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</si>
  <si>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</si>
  <si>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</si>
  <si>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</si>
  <si>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</si>
  <si>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</si>
  <si>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</si>
  <si>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</si>
  <si>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</si>
  <si>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</si>
  <si>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</si>
  <si>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</si>
  <si>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</si>
  <si>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</si>
  <si>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</si>
  <si>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</si>
  <si>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</si>
  <si>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</si>
  <si>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</si>
  <si>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</si>
  <si>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</si>
  <si>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</si>
  <si>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</si>
  <si>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</si>
  <si>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</si>
  <si>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</si>
  <si>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</si>
  <si>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</si>
  <si>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</si>
  <si>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</si>
  <si>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</si>
  <si>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</si>
  <si>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</si>
  <si>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</si>
  <si>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</si>
  <si>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</si>
  <si>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</si>
  <si>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</si>
  <si>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</si>
  <si>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</si>
  <si>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</si>
  <si>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</si>
  <si>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</si>
  <si>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</si>
  <si>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</si>
  <si>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</si>
  <si>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</si>
  <si>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</si>
  <si>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</si>
  <si>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</si>
  <si>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</si>
  <si>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</si>
  <si>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</si>
  <si>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</si>
  <si>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</si>
  <si>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</si>
  <si>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</si>
  <si>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</si>
  <si>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</si>
  <si>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</si>
  <si>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</si>
  <si>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</si>
  <si>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</si>
  <si>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</si>
  <si>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</si>
  <si>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</si>
  <si>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</si>
  <si>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</si>
  <si>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</si>
  <si>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</si>
  <si>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</si>
  <si>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</si>
  <si>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</si>
  <si>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</si>
  <si>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</si>
  <si>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</si>
  <si>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</si>
  <si>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</si>
  <si>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</si>
  <si>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</si>
  <si>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</si>
  <si>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</si>
  <si>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</si>
  <si>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</si>
  <si>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</si>
  <si>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</si>
  <si>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</si>
  <si>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</si>
  <si>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</si>
  <si>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</si>
  <si>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</si>
  <si>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</si>
  <si>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</si>
  <si>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</si>
  <si>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</si>
  <si>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</si>
  <si>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</si>
  <si>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</si>
  <si>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</si>
  <si>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</si>
  <si>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</si>
  <si>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</si>
  <si>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</si>
  <si>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</si>
  <si>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</si>
  <si>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</si>
  <si>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</si>
  <si>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</si>
  <si>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</si>
  <si>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</si>
  <si>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</si>
  <si>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</si>
  <si>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</si>
  <si>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</si>
  <si>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</si>
  <si>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</si>
  <si>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</si>
  <si>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</si>
  <si>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</si>
  <si>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</si>
  <si>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</si>
  <si>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</si>
  <si>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</si>
  <si>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</si>
  <si>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</si>
  <si>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</si>
  <si>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</si>
  <si>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</si>
  <si>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</si>
  <si>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</si>
  <si>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</si>
  <si>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</si>
  <si>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</si>
  <si>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</si>
  <si>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</si>
  <si>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</si>
  <si>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</si>
  <si>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</si>
  <si>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</si>
  <si>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</si>
  <si>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</si>
  <si>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</si>
  <si>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</si>
  <si>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</si>
  <si>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</si>
  <si>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</si>
  <si>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</si>
  <si>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</si>
  <si>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</si>
  <si>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</si>
  <si>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</si>
  <si>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</si>
  <si>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</si>
  <si>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</si>
  <si>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</si>
  <si>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</si>
  <si>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</si>
  <si>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</si>
  <si>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</si>
  <si>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</si>
  <si>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</si>
  <si>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</si>
  <si>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</si>
  <si>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</si>
  <si>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</si>
  <si>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</si>
  <si>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</si>
  <si>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</si>
  <si>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</si>
  <si>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</si>
  <si>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</si>
  <si>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</si>
  <si>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</si>
  <si>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</si>
  <si>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</si>
  <si>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</si>
  <si>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</si>
  <si>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</si>
  <si>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</si>
  <si>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</si>
  <si>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</si>
  <si>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</si>
  <si>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</si>
  <si>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</si>
  <si>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</si>
  <si>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</si>
  <si>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</si>
  <si>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</si>
  <si>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</si>
  <si>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</si>
  <si>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</si>
  <si>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</si>
  <si>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</si>
  <si>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</si>
  <si>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</si>
  <si>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</si>
  <si>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</si>
  <si>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</si>
  <si>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</si>
  <si>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</si>
  <si>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</si>
  <si>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</si>
  <si>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</si>
  <si>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</si>
  <si>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</si>
  <si>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</si>
  <si>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</si>
  <si>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</si>
  <si>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</si>
  <si>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</si>
  <si>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</si>
  <si>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</si>
  <si>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</si>
  <si>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</si>
  <si>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</si>
  <si>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</si>
  <si>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</si>
  <si>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</si>
  <si>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</si>
  <si>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</si>
  <si>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</si>
  <si>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</si>
  <si>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</si>
  <si>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</si>
  <si>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</si>
  <si>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</si>
  <si>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</si>
  <si>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</si>
  <si>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</si>
  <si>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</si>
  <si>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</si>
  <si>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</si>
  <si>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</si>
  <si>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</si>
  <si>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</si>
  <si>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</si>
  <si>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</si>
  <si>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</si>
  <si>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</si>
  <si>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</si>
  <si>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</si>
  <si>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</si>
  <si>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</si>
  <si>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</si>
  <si>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</si>
  <si>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</si>
  <si>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</si>
  <si>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</si>
  <si>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</si>
  <si>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</si>
  <si>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</si>
  <si>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</si>
  <si>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</si>
  <si>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</si>
  <si>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</si>
  <si>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</si>
  <si>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</si>
  <si>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</si>
  <si>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</si>
  <si>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</si>
  <si>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</si>
  <si>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</si>
  <si>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</si>
  <si>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</si>
  <si>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</si>
  <si>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</si>
  <si>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</si>
  <si>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</si>
  <si>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</si>
  <si>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</si>
  <si>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</si>
  <si>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</si>
  <si>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</si>
  <si>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</si>
  <si>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</si>
  <si>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</si>
  <si>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</si>
  <si>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</si>
  <si>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</si>
  <si>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</si>
  <si>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</si>
  <si>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</si>
  <si>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</si>
  <si>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</si>
  <si>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</si>
  <si>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</si>
  <si>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</si>
  <si>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</si>
  <si>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</si>
  <si>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</si>
  <si>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</si>
  <si>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</si>
  <si>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</si>
  <si>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</si>
  <si>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</si>
  <si>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</si>
  <si>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</si>
  <si>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</si>
  <si>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</si>
  <si>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</si>
  <si>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</si>
  <si>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</si>
  <si>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</si>
  <si>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</si>
  <si>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</si>
  <si>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</si>
  <si>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</si>
  <si>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</si>
  <si>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</si>
  <si>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</si>
  <si>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</si>
  <si>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</si>
  <si>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</si>
  <si>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</si>
  <si>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</si>
  <si>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</si>
  <si>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</si>
  <si>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</si>
  <si>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</si>
  <si>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</si>
  <si>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</si>
  <si>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</si>
  <si>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</si>
  <si>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</si>
  <si>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</si>
  <si>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</si>
  <si>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</si>
  <si>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</si>
  <si>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</si>
  <si>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</si>
  <si>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</si>
  <si>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</si>
  <si>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</si>
  <si>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</si>
  <si>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</si>
  <si>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</si>
  <si>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</si>
  <si>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</si>
  <si>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</si>
  <si>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</si>
  <si>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</si>
  <si>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</si>
  <si>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</si>
  <si>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</si>
  <si>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</si>
  <si>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</si>
  <si>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</si>
  <si>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</si>
  <si>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</si>
  <si>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</si>
  <si>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</si>
  <si>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</si>
  <si>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</si>
  <si>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</si>
  <si>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</si>
  <si>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</si>
  <si>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</si>
  <si>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</si>
  <si>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</si>
  <si>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</si>
  <si>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</si>
  <si>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</si>
  <si>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</si>
  <si>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</si>
  <si>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</si>
  <si>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</si>
  <si>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</si>
  <si>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</si>
  <si>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</si>
  <si>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</si>
  <si>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</si>
  <si>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</si>
  <si>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</si>
  <si>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</si>
  <si>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</si>
  <si>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</si>
  <si>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</si>
  <si>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</si>
  <si>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</si>
  <si>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</si>
  <si>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</si>
  <si>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</si>
  <si>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</si>
  <si>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</si>
  <si>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</si>
  <si>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</si>
  <si>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</si>
  <si>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</si>
  <si>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</si>
  <si>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</si>
  <si>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</si>
  <si>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</si>
  <si>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</si>
  <si>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</si>
  <si>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</si>
  <si>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</si>
  <si>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</si>
  <si>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</si>
  <si>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</si>
  <si>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</si>
  <si>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</si>
  <si>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</si>
  <si>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</si>
  <si>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</si>
  <si>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</si>
  <si>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</si>
  <si>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</si>
  <si>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</si>
  <si>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</si>
  <si>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</si>
  <si>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</si>
  <si>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</si>
  <si>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</si>
  <si>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</si>
  <si>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</si>
  <si>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</si>
  <si>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</si>
  <si>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</si>
  <si>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</si>
  <si>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</si>
  <si>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</si>
  <si>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</si>
  <si>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</si>
  <si>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</si>
  <si>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</si>
  <si>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</si>
  <si>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</si>
  <si>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</si>
  <si>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</si>
  <si>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</si>
  <si>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</si>
  <si>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</si>
  <si>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</si>
  <si>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</si>
  <si>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</si>
  <si>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</si>
  <si>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</si>
  <si>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</si>
  <si>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</si>
  <si>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</si>
  <si>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</si>
  <si>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</si>
  <si>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</si>
  <si>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</si>
  <si>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</si>
  <si>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</si>
  <si>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</si>
  <si>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</si>
  <si>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</si>
  <si>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</si>
  <si>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</si>
  <si>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</si>
  <si>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</si>
  <si>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</si>
  <si>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</si>
  <si>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</si>
  <si>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</si>
  <si>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</si>
  <si>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</si>
  <si>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</si>
  <si>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</si>
  <si>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</si>
  <si>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</si>
  <si>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</si>
  <si>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</si>
  <si>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</si>
  <si>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</si>
  <si>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</si>
  <si>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</si>
  <si>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</si>
  <si>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</si>
  <si>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</si>
  <si>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</si>
  <si>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</si>
  <si>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</si>
  <si>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</si>
  <si>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</si>
  <si>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</si>
  <si>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</si>
  <si>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</si>
  <si>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</si>
  <si>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</si>
  <si>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</si>
  <si>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</si>
  <si>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</si>
  <si>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</si>
  <si>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</si>
  <si>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</si>
  <si>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</si>
  <si>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</si>
  <si>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</si>
  <si>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</si>
  <si>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</si>
  <si>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</si>
  <si>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</si>
  <si>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</si>
  <si>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</si>
  <si>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</si>
  <si>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</si>
  <si>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</si>
  <si>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</si>
  <si>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</si>
  <si>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</si>
  <si>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</si>
  <si>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</si>
  <si>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</si>
  <si>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</si>
  <si>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</si>
  <si>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</si>
  <si>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</si>
  <si>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</si>
  <si>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</si>
  <si>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</si>
  <si>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</si>
  <si>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</si>
  <si>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</si>
  <si>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</si>
  <si>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</si>
  <si>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</si>
  <si>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</si>
  <si>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</si>
  <si>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</si>
  <si>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</si>
  <si>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</si>
  <si>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</si>
  <si>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</si>
  <si>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</si>
  <si>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</si>
  <si>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</si>
  <si>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</si>
  <si>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</si>
  <si>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</si>
  <si>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</si>
  <si>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</si>
  <si>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</si>
  <si>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</si>
  <si>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</si>
  <si>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</si>
  <si>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</si>
  <si>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</si>
  <si>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</si>
  <si>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</si>
  <si>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</si>
  <si>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</si>
  <si>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</si>
  <si>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</si>
  <si>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</si>
  <si>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</si>
  <si>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</si>
  <si>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</si>
  <si>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</si>
  <si>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</si>
  <si>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</si>
  <si>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</si>
  <si>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</si>
  <si>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</si>
  <si>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</si>
  <si>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</si>
  <si>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</si>
  <si>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</si>
  <si>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</si>
  <si>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</si>
  <si>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</si>
  <si>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</si>
  <si>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</si>
  <si>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</si>
  <si>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</si>
  <si>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</si>
  <si>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</si>
  <si>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</si>
  <si>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</si>
  <si>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</si>
  <si>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</si>
  <si>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</si>
  <si>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</si>
  <si>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</si>
  <si>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</si>
  <si>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</si>
  <si>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</si>
  <si>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</si>
  <si>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</si>
  <si>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</si>
  <si>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</si>
  <si>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</si>
  <si>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</si>
  <si>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</si>
  <si>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</si>
  <si>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</si>
  <si>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</si>
  <si>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</si>
  <si>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</si>
  <si>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</si>
  <si>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</si>
  <si>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</si>
  <si>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</si>
  <si>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</si>
  <si>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</si>
  <si>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</si>
  <si>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</si>
  <si>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</si>
  <si>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</si>
  <si>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</si>
  <si>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</si>
  <si>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</si>
  <si>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</si>
  <si>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</si>
  <si>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</si>
  <si>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</si>
  <si>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</si>
  <si>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</si>
  <si>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</si>
  <si>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</si>
  <si>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</si>
  <si>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</si>
  <si>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</si>
  <si>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</si>
  <si>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</si>
  <si>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</si>
  <si>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</si>
  <si>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</si>
  <si>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</si>
  <si>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</si>
  <si>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</si>
  <si>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</si>
  <si>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</si>
  <si>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</si>
  <si>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</si>
  <si>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</si>
  <si>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</si>
  <si>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</si>
  <si>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</si>
  <si>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</si>
  <si>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</si>
  <si>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</si>
  <si>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</si>
  <si>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</si>
  <si>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</si>
  <si>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</si>
  <si>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</si>
  <si>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</si>
  <si>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</si>
  <si>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</si>
  <si>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</si>
  <si>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</si>
  <si>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</si>
  <si>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</si>
  <si>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</si>
  <si>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</si>
  <si>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</si>
  <si>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</si>
  <si>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</si>
  <si>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</si>
  <si>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</si>
  <si>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</si>
  <si>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</si>
  <si>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</si>
  <si>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</si>
  <si>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</si>
  <si>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</si>
  <si>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</si>
  <si>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</si>
  <si>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</si>
  <si>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</si>
  <si>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</si>
  <si>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</si>
  <si>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</si>
  <si>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</si>
  <si>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</si>
  <si>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</si>
  <si>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</si>
  <si>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</si>
  <si>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</si>
  <si>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</si>
  <si>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</si>
  <si>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</si>
  <si>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</si>
  <si>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</si>
  <si>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</si>
  <si>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</si>
  <si>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</si>
  <si>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</si>
  <si>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</si>
  <si>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</si>
  <si>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</si>
  <si>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</si>
  <si>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</si>
  <si>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</si>
  <si>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</si>
  <si>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</si>
  <si>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</si>
  <si>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</si>
  <si>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</si>
  <si>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</si>
  <si>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</si>
  <si>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</si>
  <si>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</si>
  <si>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</si>
  <si>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</si>
  <si>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</si>
  <si>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</si>
  <si>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</si>
  <si>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</si>
  <si>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</si>
  <si>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</si>
  <si>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</si>
  <si>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</si>
  <si>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</si>
  <si>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</si>
  <si>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</si>
  <si>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</si>
  <si>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</si>
  <si>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</si>
  <si>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</si>
  <si>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</si>
  <si>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</si>
  <si>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</si>
  <si>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</si>
  <si>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</si>
  <si>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</si>
  <si>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</si>
  <si>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</si>
  <si>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</si>
  <si>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</si>
  <si>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</si>
  <si>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</si>
  <si>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</si>
  <si>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</si>
  <si>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</si>
  <si>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</si>
  <si>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</si>
  <si>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</si>
  <si>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</si>
  <si>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</si>
  <si>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</si>
  <si>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</si>
  <si>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</si>
  <si>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</si>
  <si>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</si>
  <si>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</si>
  <si>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</si>
  <si>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</si>
  <si>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</si>
  <si>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</si>
  <si>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</si>
  <si>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</si>
  <si>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</si>
  <si>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</si>
  <si>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</si>
  <si>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</si>
  <si>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</si>
  <si>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</si>
  <si>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</si>
  <si>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</si>
  <si>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</si>
  <si>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</si>
  <si>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</si>
  <si>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</si>
  <si>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</si>
  <si>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</si>
  <si>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</si>
  <si>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</si>
  <si>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</si>
  <si>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</si>
  <si>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</si>
  <si>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</si>
  <si>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</si>
  <si>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</si>
  <si>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</si>
  <si>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</si>
  <si>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</si>
  <si>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</si>
  <si>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</si>
  <si>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</si>
  <si>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</si>
  <si>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</si>
  <si>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</si>
  <si>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</si>
  <si>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</si>
  <si>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</si>
  <si>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</si>
  <si>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</si>
  <si>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</si>
  <si>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</si>
  <si>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</si>
  <si>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</si>
  <si>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</si>
  <si>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</si>
  <si>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</si>
  <si>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</si>
  <si>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</si>
  <si>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</si>
  <si>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</si>
  <si>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</si>
  <si>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</si>
  <si>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</si>
  <si>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</si>
  <si>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</si>
  <si>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</si>
  <si>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</si>
  <si>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</si>
  <si>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</si>
  <si>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</si>
  <si>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</si>
  <si>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</si>
  <si>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</si>
  <si>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</si>
  <si>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</si>
  <si>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</si>
  <si>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</si>
  <si>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</si>
  <si>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</si>
  <si>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</si>
  <si>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</si>
  <si>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</si>
  <si>
    <t>Default grounding setting for the Main Transformer</t>
  </si>
  <si>
    <t>Main Transformer Grounded</t>
  </si>
  <si>
    <t>MtrfrGnd0</t>
  </si>
  <si>
    <t>Grounded</t>
  </si>
  <si>
    <t>RfG_SystemProtect_Q</t>
  </si>
  <si>
    <t>RfG_SystemProtect_QU</t>
  </si>
  <si>
    <t>RfG_SystemProtect+fault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</si>
</sst>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E33" sqref="E33"/>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4" t="s">
        <v>460</v>
      </c>
      <c r="J8" s="294"/>
      <c r="K8" s="294"/>
      <c r="L8" s="294" t="s">
        <v>461</v>
      </c>
      <c r="M8" s="294"/>
      <c r="N8" s="295"/>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91" t="s">
        <v>928</v>
      </c>
      <c r="B19" s="283" t="b">
        <v>0</v>
      </c>
      <c r="C19" s="292" t="s">
        <v>11</v>
      </c>
      <c r="E19" s="293" t="s">
        <v>927</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6" t="s">
        <v>9</v>
      </c>
      <c r="C1" s="297"/>
      <c r="D1" s="298"/>
      <c r="E1" s="296" t="s">
        <v>36</v>
      </c>
      <c r="F1" s="297"/>
      <c r="G1" s="297"/>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38" activePane="bottomLeft" state="frozen"/>
      <selection pane="bottomLeft" activeCell="J60" sqref="J60"/>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300" t="s">
        <v>659</v>
      </c>
      <c r="B1" s="300"/>
      <c r="C1" s="300"/>
      <c r="D1" s="300"/>
      <c r="E1" s="301" t="s">
        <v>660</v>
      </c>
      <c r="F1" s="302"/>
      <c r="G1" s="302"/>
      <c r="H1" s="302"/>
      <c r="I1" s="302"/>
      <c r="J1" s="302"/>
      <c r="K1" s="302"/>
      <c r="L1" s="302"/>
      <c r="M1" s="302"/>
      <c r="N1" s="302"/>
      <c r="O1" s="303"/>
      <c r="P1" s="299" t="s">
        <v>78</v>
      </c>
      <c r="Q1" s="299"/>
      <c r="R1" s="299"/>
      <c r="S1" s="299"/>
      <c r="T1" s="300" t="s">
        <v>79</v>
      </c>
      <c r="U1" s="300"/>
      <c r="V1" s="300"/>
      <c r="W1" s="300"/>
      <c r="X1" s="299" t="s">
        <v>80</v>
      </c>
      <c r="Y1" s="299"/>
      <c r="Z1" s="299"/>
      <c r="AA1" s="299"/>
      <c r="AB1" s="300" t="s">
        <v>81</v>
      </c>
      <c r="AC1" s="300"/>
      <c r="AD1" s="300"/>
      <c r="AE1" s="300"/>
      <c r="AF1" s="299" t="s">
        <v>82</v>
      </c>
      <c r="AG1" s="299"/>
      <c r="AH1" s="299"/>
      <c r="AI1" s="299"/>
      <c r="AJ1" s="300" t="s">
        <v>83</v>
      </c>
      <c r="AK1" s="300"/>
      <c r="AL1" s="300"/>
      <c r="AM1" s="300"/>
      <c r="AN1" s="299" t="s">
        <v>84</v>
      </c>
      <c r="AO1" s="299"/>
      <c r="AP1" s="299"/>
      <c r="AQ1" s="299"/>
      <c r="AR1" s="300" t="s">
        <v>85</v>
      </c>
      <c r="AS1" s="300"/>
      <c r="AT1" s="300"/>
      <c r="AU1" s="300"/>
      <c r="AV1" s="299" t="s">
        <v>86</v>
      </c>
      <c r="AW1" s="299"/>
      <c r="AX1" s="299"/>
      <c r="AY1" s="299"/>
      <c r="AZ1" s="300" t="s">
        <v>87</v>
      </c>
      <c r="BA1" s="300"/>
      <c r="BB1" s="300"/>
      <c r="BC1" s="300"/>
      <c r="BD1" s="299" t="s">
        <v>88</v>
      </c>
      <c r="BE1" s="299"/>
      <c r="BF1" s="299"/>
      <c r="BG1" s="299"/>
      <c r="BH1" s="300" t="s">
        <v>89</v>
      </c>
      <c r="BI1" s="300"/>
      <c r="BJ1" s="300"/>
      <c r="BK1" s="300"/>
      <c r="BL1" s="299" t="s">
        <v>688</v>
      </c>
      <c r="BM1" s="299"/>
      <c r="BN1" s="299"/>
      <c r="BO1" s="299"/>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929</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925</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924</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931</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932</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933</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922</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4">inp_Un&gt;=110</f>
        <v>1</v>
      </c>
      <c r="C70" s="88" t="b">
        <f t="shared" si="24"/>
        <v>1</v>
      </c>
      <c r="D70" s="87" t="s">
        <v>923</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4"/>
        <v>1</v>
      </c>
      <c r="C71" s="88" t="b">
        <f t="shared" si="24"/>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30">inp_Un&gt;=110</f>
        <v>1</v>
      </c>
      <c r="C91" s="88" t="b">
        <f t="shared" si="30"/>
        <v>1</v>
      </c>
      <c r="D91" s="87" t="s">
        <v>827</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30"/>
        <v>1</v>
      </c>
      <c r="C92" s="88" t="b">
        <f t="shared" si="30"/>
        <v>1</v>
      </c>
      <c r="D92" s="87" t="s">
        <v>828</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30"/>
        <v>1</v>
      </c>
      <c r="C93" s="88" t="b">
        <f t="shared" si="30"/>
        <v>1</v>
      </c>
      <c r="D93" s="87" t="s">
        <v>829</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30"/>
        <v>1</v>
      </c>
      <c r="C94" s="88" t="b">
        <f t="shared" si="30"/>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30"/>
        <v>1</v>
      </c>
      <c r="C95" s="88" t="b">
        <f t="shared" si="30"/>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30"/>
        <v>1</v>
      </c>
      <c r="C96" s="88" t="b">
        <f t="shared" si="30"/>
        <v>1</v>
      </c>
      <c r="D96" s="87" t="s">
        <v>834</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30"/>
        <v>1</v>
      </c>
      <c r="C97" s="88" t="b">
        <f t="shared" si="30"/>
        <v>1</v>
      </c>
      <c r="D97" s="87" t="s">
        <v>835</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30"/>
        <v>1</v>
      </c>
      <c r="C98" s="88" t="b">
        <f t="shared" si="30"/>
        <v>1</v>
      </c>
      <c r="D98" s="87" t="s">
        <v>836</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30"/>
        <v>1</v>
      </c>
      <c r="C99" s="88" t="b">
        <f t="shared" si="30"/>
        <v>1</v>
      </c>
      <c r="D99" s="87" t="s">
        <v>837</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4">inp_Un&gt;=110</f>
        <v>1</v>
      </c>
      <c r="C100" s="88" t="b">
        <f t="shared" si="34"/>
        <v>1</v>
      </c>
      <c r="D100" s="87" t="s">
        <v>838</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4"/>
        <v>1</v>
      </c>
      <c r="C101" s="88" t="b">
        <f t="shared" si="34"/>
        <v>1</v>
      </c>
      <c r="D101" s="87" t="s">
        <v>839</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4"/>
        <v>1</v>
      </c>
      <c r="C102" s="88" t="b">
        <f t="shared" si="34"/>
        <v>1</v>
      </c>
      <c r="D102" s="87" t="s">
        <v>840</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4"/>
        <v>1</v>
      </c>
      <c r="C103" s="88" t="b">
        <f t="shared" si="34"/>
        <v>1</v>
      </c>
      <c r="D103" s="87" t="s">
        <v>841</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4"/>
        <v>1</v>
      </c>
      <c r="C104" s="88" t="b">
        <f t="shared" si="34"/>
        <v>1</v>
      </c>
      <c r="D104" s="87" t="s">
        <v>842</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4"/>
        <v>1</v>
      </c>
      <c r="C105" s="88" t="b">
        <f t="shared" si="34"/>
        <v>1</v>
      </c>
      <c r="D105" s="87" t="s">
        <v>843</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4"/>
        <v>1</v>
      </c>
      <c r="C106" s="88" t="b">
        <f t="shared" si="34"/>
        <v>1</v>
      </c>
      <c r="D106" s="87" t="s">
        <v>844</v>
      </c>
      <c r="E106" s="89">
        <f t="shared" si="35"/>
        <v>1.0651315789473685</v>
      </c>
      <c r="F106" s="89">
        <v>1</v>
      </c>
      <c r="G106" s="89" t="s">
        <v>106</v>
      </c>
      <c r="H106" s="91" t="s">
        <v>220</v>
      </c>
      <c r="I106" s="90" t="s">
        <v>111</v>
      </c>
      <c r="J106" s="89">
        <f t="shared" si="36"/>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4"/>
        <v>1</v>
      </c>
      <c r="C107" s="88" t="b">
        <f t="shared" si="34"/>
        <v>1</v>
      </c>
      <c r="D107" s="87" t="s">
        <v>845</v>
      </c>
      <c r="E107" s="89">
        <f t="shared" si="35"/>
        <v>1.0651315789473685</v>
      </c>
      <c r="F107" s="89">
        <v>1</v>
      </c>
      <c r="G107" s="89" t="s">
        <v>106</v>
      </c>
      <c r="H107" s="91" t="s">
        <v>220</v>
      </c>
      <c r="I107" s="90" t="s">
        <v>111</v>
      </c>
      <c r="J107" s="89">
        <f t="shared" si="36"/>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4"/>
        <v>1</v>
      </c>
      <c r="C108" s="88" t="b">
        <f t="shared" si="34"/>
        <v>1</v>
      </c>
      <c r="D108" s="87" t="s">
        <v>846</v>
      </c>
      <c r="E108" s="89">
        <f t="shared" si="35"/>
        <v>1.0651315789473685</v>
      </c>
      <c r="F108" s="89">
        <v>1</v>
      </c>
      <c r="G108" s="89" t="s">
        <v>106</v>
      </c>
      <c r="H108" s="91" t="s">
        <v>220</v>
      </c>
      <c r="I108" s="90" t="s">
        <v>111</v>
      </c>
      <c r="J108" s="89">
        <f t="shared" si="36"/>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4"/>
        <v>1</v>
      </c>
      <c r="C109" s="88" t="b">
        <f t="shared" si="34"/>
        <v>1</v>
      </c>
      <c r="D109" s="87" t="s">
        <v>847</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4"/>
        <v>1</v>
      </c>
      <c r="C110" s="88" t="b">
        <f t="shared" si="34"/>
        <v>1</v>
      </c>
      <c r="D110" s="87" t="s">
        <v>848</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913</v>
      </c>
      <c r="Q110" s="97">
        <v>1</v>
      </c>
      <c r="R110" s="97">
        <v>0.75</v>
      </c>
      <c r="S110" s="97"/>
      <c r="T110" s="89" t="s">
        <v>913</v>
      </c>
      <c r="U110" s="89">
        <v>5</v>
      </c>
      <c r="V110" s="89">
        <v>0.25</v>
      </c>
      <c r="W110" s="89"/>
      <c r="X110" s="97" t="s">
        <v>913</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4"/>
        <v>1</v>
      </c>
      <c r="C111" s="88" t="b">
        <f t="shared" si="34"/>
        <v>1</v>
      </c>
      <c r="D111" s="87" t="s">
        <v>921</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913</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4"/>
        <v>1</v>
      </c>
      <c r="C112" s="88" t="b">
        <f t="shared" si="34"/>
        <v>1</v>
      </c>
      <c r="D112" s="87" t="s">
        <v>849</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4"/>
        <v>1</v>
      </c>
      <c r="C113" s="88" t="b">
        <f t="shared" si="34"/>
        <v>1</v>
      </c>
      <c r="D113" s="87" t="s">
        <v>850</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4"/>
        <v>1</v>
      </c>
      <c r="C114" s="88" t="b">
        <f t="shared" si="34"/>
        <v>1</v>
      </c>
      <c r="D114" s="87" t="s">
        <v>851</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4"/>
        <v>1</v>
      </c>
      <c r="C115" s="88" t="b">
        <f t="shared" si="34"/>
        <v>1</v>
      </c>
      <c r="D115" s="87" t="s">
        <v>852</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4"/>
        <v>1</v>
      </c>
      <c r="C116" s="88" t="b">
        <f t="shared" si="34"/>
        <v>1</v>
      </c>
      <c r="D116" s="87" t="s">
        <v>853</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4"/>
        <v>1</v>
      </c>
      <c r="C117" s="88" t="b">
        <f t="shared" si="34"/>
        <v>1</v>
      </c>
      <c r="D117" s="87" t="s">
        <v>854</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4"/>
        <v>1</v>
      </c>
      <c r="C118" s="88" t="b">
        <f t="shared" si="34"/>
        <v>1</v>
      </c>
      <c r="D118" s="87" t="s">
        <v>855</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4"/>
        <v>1</v>
      </c>
      <c r="C119" s="88" t="b">
        <f t="shared" si="34"/>
        <v>1</v>
      </c>
      <c r="D119" s="87" t="s">
        <v>856</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4"/>
        <v>1</v>
      </c>
      <c r="C120" s="88" t="b">
        <f t="shared" si="34"/>
        <v>1</v>
      </c>
      <c r="D120" s="87" t="s">
        <v>857</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4"/>
        <v>1</v>
      </c>
      <c r="C121" s="88" t="b">
        <f t="shared" si="34"/>
        <v>1</v>
      </c>
      <c r="D121" s="87" t="s">
        <v>858</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4"/>
        <v>1</v>
      </c>
      <c r="C122" s="88" t="b">
        <f t="shared" si="34"/>
        <v>1</v>
      </c>
      <c r="D122" s="87" t="s">
        <v>859</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4"/>
        <v>1</v>
      </c>
      <c r="C123" s="88" t="b">
        <f t="shared" si="34"/>
        <v>1</v>
      </c>
      <c r="D123" s="87" t="s">
        <v>860</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4"/>
        <v>1</v>
      </c>
      <c r="C124" s="88" t="b">
        <f t="shared" si="34"/>
        <v>1</v>
      </c>
      <c r="D124" s="87" t="s">
        <v>861</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4"/>
        <v>1</v>
      </c>
      <c r="C125" s="88" t="b">
        <f t="shared" si="34"/>
        <v>1</v>
      </c>
      <c r="D125" s="87" t="s">
        <v>862</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4"/>
        <v>1</v>
      </c>
      <c r="C126" s="88" t="b">
        <f t="shared" si="34"/>
        <v>1</v>
      </c>
      <c r="D126" s="87" t="s">
        <v>863</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4"/>
        <v>1</v>
      </c>
      <c r="C127" s="88" t="b">
        <f t="shared" si="34"/>
        <v>1</v>
      </c>
      <c r="D127" s="87" t="s">
        <v>864</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4"/>
        <v>1</v>
      </c>
      <c r="C128" s="88" t="b">
        <f t="shared" si="34"/>
        <v>1</v>
      </c>
      <c r="D128" s="87" t="s">
        <v>865</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4"/>
        <v>1</v>
      </c>
      <c r="C129" s="88" t="b">
        <f t="shared" si="34"/>
        <v>1</v>
      </c>
      <c r="D129" s="87" t="s">
        <v>866</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4"/>
        <v>1</v>
      </c>
      <c r="C130" s="88" t="b">
        <f t="shared" si="34"/>
        <v>1</v>
      </c>
      <c r="D130" s="87" t="s">
        <v>867</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4"/>
        <v>1</v>
      </c>
      <c r="C131" s="88" t="b">
        <f t="shared" si="34"/>
        <v>1</v>
      </c>
      <c r="D131" s="87" t="s">
        <v>868</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4"/>
        <v>1</v>
      </c>
      <c r="C132" s="88" t="b">
        <f t="shared" si="34"/>
        <v>1</v>
      </c>
      <c r="D132" s="87" t="s">
        <v>869</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4"/>
        <v>1</v>
      </c>
      <c r="C133" s="88" t="b">
        <f t="shared" si="34"/>
        <v>1</v>
      </c>
      <c r="D133" s="87" t="s">
        <v>870</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4"/>
        <v>1</v>
      </c>
      <c r="C134" s="88" t="b">
        <f t="shared" si="34"/>
        <v>1</v>
      </c>
      <c r="D134" s="87" t="s">
        <v>871</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4"/>
        <v>1</v>
      </c>
      <c r="C135" s="88" t="b">
        <f t="shared" si="34"/>
        <v>1</v>
      </c>
      <c r="D135" s="87" t="s">
        <v>872</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4"/>
        <v>1</v>
      </c>
      <c r="C136" s="88" t="b">
        <f t="shared" si="34"/>
        <v>1</v>
      </c>
      <c r="D136" s="87" t="s">
        <v>873</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4"/>
        <v>1</v>
      </c>
      <c r="C137" s="88" t="b">
        <f t="shared" si="34"/>
        <v>1</v>
      </c>
      <c r="D137" s="87" t="s">
        <v>874</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4"/>
        <v>1</v>
      </c>
      <c r="C138" s="88" t="b">
        <f t="shared" si="34"/>
        <v>1</v>
      </c>
      <c r="D138" s="87" t="s">
        <v>875</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4"/>
        <v>1</v>
      </c>
      <c r="C139" s="88" t="b">
        <f t="shared" si="34"/>
        <v>1</v>
      </c>
      <c r="D139" s="87" t="s">
        <v>876</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4"/>
        <v>1</v>
      </c>
      <c r="C140" s="88" t="b">
        <f t="shared" si="34"/>
        <v>1</v>
      </c>
      <c r="D140" s="87" t="s">
        <v>877</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6">inp_Un&gt;=110</f>
        <v>1</v>
      </c>
      <c r="C141" s="88" t="b">
        <f t="shared" si="66"/>
        <v>1</v>
      </c>
      <c r="D141" s="87" t="s">
        <v>878</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6"/>
        <v>1</v>
      </c>
      <c r="C142" s="88" t="b">
        <f t="shared" si="66"/>
        <v>1</v>
      </c>
      <c r="D142" s="87" t="s">
        <v>879</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6"/>
        <v>1</v>
      </c>
      <c r="C143" s="88" t="b">
        <f t="shared" si="66"/>
        <v>1</v>
      </c>
      <c r="D143" s="87" t="s">
        <v>880</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6"/>
        <v>1</v>
      </c>
      <c r="C144" s="88" t="b">
        <f t="shared" si="66"/>
        <v>1</v>
      </c>
      <c r="D144" s="87" t="s">
        <v>919</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6"/>
        <v>1</v>
      </c>
      <c r="C145" s="88" t="b">
        <f t="shared" si="66"/>
        <v>1</v>
      </c>
      <c r="D145" s="87" t="s">
        <v>920</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6"/>
        <v>1</v>
      </c>
      <c r="C146" s="88" t="b">
        <f t="shared" si="66"/>
        <v>1</v>
      </c>
      <c r="D146" s="87" t="s">
        <v>881</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6"/>
        <v>1</v>
      </c>
      <c r="C147" s="88" t="b">
        <f t="shared" si="66"/>
        <v>1</v>
      </c>
      <c r="D147" s="87" t="s">
        <v>882</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6"/>
        <v>1</v>
      </c>
      <c r="C148" s="88" t="b">
        <f t="shared" si="66"/>
        <v>1</v>
      </c>
      <c r="D148" s="87" t="s">
        <v>883</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6"/>
        <v>1</v>
      </c>
      <c r="C149" s="88" t="b">
        <f t="shared" si="66"/>
        <v>1</v>
      </c>
      <c r="D149" s="87" t="s">
        <v>884</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6"/>
        <v>1</v>
      </c>
      <c r="C150" s="88" t="b">
        <f t="shared" si="66"/>
        <v>1</v>
      </c>
      <c r="D150" s="87" t="s">
        <v>885</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6"/>
        <v>1</v>
      </c>
      <c r="C151" s="88" t="b">
        <f t="shared" si="66"/>
        <v>1</v>
      </c>
      <c r="D151" s="87" t="s">
        <v>886</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459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6"/>
        <v>1</v>
      </c>
      <c r="C152" s="88" t="b">
        <f t="shared" si="66"/>
        <v>1</v>
      </c>
      <c r="D152" s="87" t="s">
        <v>887</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930</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6"/>
        <v>1</v>
      </c>
      <c r="C153" s="88" t="b">
        <f t="shared" si="66"/>
        <v>1</v>
      </c>
      <c r="D153" s="87" t="s">
        <v>888</v>
      </c>
      <c r="E153" s="89">
        <f t="shared" si="70"/>
        <v>1.0651315789473685</v>
      </c>
      <c r="F153" s="89">
        <v>1</v>
      </c>
      <c r="G153" s="89" t="s">
        <v>106</v>
      </c>
      <c r="H153" s="91" t="s">
        <v>220</v>
      </c>
      <c r="I153" s="90" t="s">
        <v>106</v>
      </c>
      <c r="J153" s="89">
        <v>0</v>
      </c>
      <c r="K153" s="89" t="s">
        <v>106</v>
      </c>
      <c r="L153" s="91">
        <f>inp_scr_max</f>
        <v>30</v>
      </c>
      <c r="M153" s="91">
        <f>inp_xr_max</f>
        <v>20</v>
      </c>
      <c r="N153" s="91" t="s">
        <v>930</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6"/>
        <v>1</v>
      </c>
      <c r="C154" s="88" t="b">
        <f t="shared" si="66"/>
        <v>1</v>
      </c>
      <c r="D154" s="87" t="s">
        <v>889</v>
      </c>
      <c r="E154" s="89">
        <f t="shared" si="70"/>
        <v>1.0651315789473685</v>
      </c>
      <c r="F154" s="89">
        <v>1</v>
      </c>
      <c r="G154" s="89" t="s">
        <v>106</v>
      </c>
      <c r="H154" s="91" t="s">
        <v>220</v>
      </c>
      <c r="I154" s="90" t="s">
        <v>106</v>
      </c>
      <c r="J154" s="89">
        <v>0</v>
      </c>
      <c r="K154" s="89" t="s">
        <v>106</v>
      </c>
      <c r="L154" s="91">
        <f>inp_scr_min</f>
        <v>10</v>
      </c>
      <c r="M154" s="91">
        <f t="shared" si="74"/>
        <v>10</v>
      </c>
      <c r="N154" s="91" t="s">
        <v>930</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6"/>
        <v>1</v>
      </c>
      <c r="C155" s="88" t="b">
        <f t="shared" si="66"/>
        <v>1</v>
      </c>
      <c r="D155" s="87" t="s">
        <v>890</v>
      </c>
      <c r="E155" s="89">
        <f t="shared" si="70"/>
        <v>1.0651315789473685</v>
      </c>
      <c r="F155" s="89">
        <v>1</v>
      </c>
      <c r="G155" s="89" t="s">
        <v>106</v>
      </c>
      <c r="H155" s="91" t="s">
        <v>220</v>
      </c>
      <c r="I155" s="90" t="s">
        <v>106</v>
      </c>
      <c r="J155" s="89">
        <v>0</v>
      </c>
      <c r="K155" s="89" t="s">
        <v>106</v>
      </c>
      <c r="L155" s="91">
        <f>inp_scr_max</f>
        <v>30</v>
      </c>
      <c r="M155" s="91">
        <f>inp_xr_max</f>
        <v>20</v>
      </c>
      <c r="N155" s="91" t="s">
        <v>930</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6"/>
        <v>1</v>
      </c>
      <c r="C156" s="88" t="b">
        <f t="shared" si="66"/>
        <v>1</v>
      </c>
      <c r="D156" s="87" t="s">
        <v>891</v>
      </c>
      <c r="E156" s="89">
        <f t="shared" si="70"/>
        <v>1.0651315789473685</v>
      </c>
      <c r="F156" s="89">
        <v>1</v>
      </c>
      <c r="G156" s="89" t="s">
        <v>106</v>
      </c>
      <c r="H156" s="91" t="s">
        <v>220</v>
      </c>
      <c r="I156" s="90" t="s">
        <v>106</v>
      </c>
      <c r="J156" s="89">
        <v>0</v>
      </c>
      <c r="K156" s="89" t="s">
        <v>106</v>
      </c>
      <c r="L156" s="91">
        <f>inp_scr_min</f>
        <v>10</v>
      </c>
      <c r="M156" s="91">
        <f t="shared" si="74"/>
        <v>10</v>
      </c>
      <c r="N156" s="91" t="s">
        <v>930</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6"/>
        <v>1</v>
      </c>
      <c r="C157" s="88" t="b">
        <f t="shared" si="66"/>
        <v>1</v>
      </c>
      <c r="D157" s="87" t="s">
        <v>892</v>
      </c>
      <c r="E157" s="89">
        <f t="shared" si="70"/>
        <v>1.0651315789473685</v>
      </c>
      <c r="F157" s="89">
        <v>1</v>
      </c>
      <c r="G157" s="89" t="s">
        <v>106</v>
      </c>
      <c r="H157" s="91" t="s">
        <v>220</v>
      </c>
      <c r="I157" s="90" t="s">
        <v>106</v>
      </c>
      <c r="J157" s="89">
        <v>0</v>
      </c>
      <c r="K157" s="89" t="s">
        <v>106</v>
      </c>
      <c r="L157" s="91">
        <f>inp_scr_max</f>
        <v>30</v>
      </c>
      <c r="M157" s="91">
        <f>inp_xr_max</f>
        <v>20</v>
      </c>
      <c r="N157" s="91" t="s">
        <v>930</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6"/>
        <v>1</v>
      </c>
      <c r="C158" s="88" t="b">
        <f t="shared" si="66"/>
        <v>1</v>
      </c>
      <c r="D158" s="87" t="s">
        <v>893</v>
      </c>
      <c r="E158" s="89">
        <f t="shared" si="70"/>
        <v>1.0651315789473685</v>
      </c>
      <c r="F158" s="89">
        <v>1</v>
      </c>
      <c r="G158" s="89" t="s">
        <v>106</v>
      </c>
      <c r="H158" s="91" t="s">
        <v>220</v>
      </c>
      <c r="I158" s="90" t="s">
        <v>106</v>
      </c>
      <c r="J158" s="89">
        <v>0</v>
      </c>
      <c r="K158" s="89" t="s">
        <v>106</v>
      </c>
      <c r="L158" s="91">
        <f>inp_scr_min</f>
        <v>10</v>
      </c>
      <c r="M158" s="91">
        <f t="shared" si="74"/>
        <v>10</v>
      </c>
      <c r="N158" s="91" t="s">
        <v>930</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6"/>
        <v>1</v>
      </c>
      <c r="C159" s="88" t="b">
        <f t="shared" si="66"/>
        <v>1</v>
      </c>
      <c r="D159" s="87" t="s">
        <v>894</v>
      </c>
      <c r="E159" s="89">
        <f t="shared" si="70"/>
        <v>1.0651315789473685</v>
      </c>
      <c r="F159" s="89">
        <v>1</v>
      </c>
      <c r="G159" s="89" t="s">
        <v>106</v>
      </c>
      <c r="H159" s="91" t="s">
        <v>220</v>
      </c>
      <c r="I159" s="90" t="s">
        <v>106</v>
      </c>
      <c r="J159" s="89">
        <v>0</v>
      </c>
      <c r="K159" s="89" t="s">
        <v>106</v>
      </c>
      <c r="L159" s="91">
        <f>inp_scr_max</f>
        <v>30</v>
      </c>
      <c r="M159" s="91">
        <f>inp_xr_max</f>
        <v>20</v>
      </c>
      <c r="N159" s="91" t="s">
        <v>930</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6"/>
        <v>1</v>
      </c>
      <c r="C160" s="88" t="b">
        <f t="shared" si="66"/>
        <v>1</v>
      </c>
      <c r="D160" s="87" t="s">
        <v>895</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6"/>
        <v>1</v>
      </c>
      <c r="C161" s="88" t="b">
        <f t="shared" si="66"/>
        <v>1</v>
      </c>
      <c r="D161" s="87" t="s">
        <v>896</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6"/>
        <v>1</v>
      </c>
      <c r="C162" s="88" t="b">
        <f t="shared" si="66"/>
        <v>1</v>
      </c>
      <c r="D162" s="87" t="s">
        <v>897</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6"/>
        <v>1</v>
      </c>
      <c r="C163" s="88" t="b">
        <f t="shared" si="66"/>
        <v>1</v>
      </c>
      <c r="D163" s="87" t="s">
        <v>898</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6"/>
        <v>1</v>
      </c>
      <c r="C164" s="88" t="b">
        <f t="shared" si="66"/>
        <v>1</v>
      </c>
      <c r="D164" s="87" t="s">
        <v>899</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6"/>
        <v>1</v>
      </c>
      <c r="C165" s="88" t="b">
        <f t="shared" si="66"/>
        <v>1</v>
      </c>
      <c r="D165" s="87" t="s">
        <v>900</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6"/>
        <v>1</v>
      </c>
      <c r="C166" s="88" t="b">
        <f t="shared" si="66"/>
        <v>1</v>
      </c>
      <c r="D166" s="87" t="s">
        <v>901</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6"/>
        <v>1</v>
      </c>
      <c r="C167" s="88" t="b">
        <f t="shared" si="66"/>
        <v>1</v>
      </c>
      <c r="D167" s="87" t="s">
        <v>902</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7">inp_Un&gt;=110</f>
        <v>1</v>
      </c>
      <c r="C168" s="88" t="b">
        <f t="shared" si="77"/>
        <v>1</v>
      </c>
      <c r="D168" s="87" t="s">
        <v>903</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7"/>
        <v>1</v>
      </c>
      <c r="C169" s="88" t="b">
        <f t="shared" si="77"/>
        <v>1</v>
      </c>
      <c r="D169" s="87" t="s">
        <v>904</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7"/>
        <v>1</v>
      </c>
      <c r="C170" s="88" t="b">
        <f t="shared" si="77"/>
        <v>1</v>
      </c>
      <c r="D170" s="87" t="s">
        <v>905</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7"/>
        <v>1</v>
      </c>
      <c r="C171" s="88" t="b">
        <f t="shared" si="77"/>
        <v>1</v>
      </c>
      <c r="D171" s="87" t="s">
        <v>906</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7"/>
        <v>1</v>
      </c>
      <c r="C172" s="88" t="b">
        <f t="shared" si="77"/>
        <v>1</v>
      </c>
      <c r="D172" s="87" t="s">
        <v>907</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7"/>
        <v>1</v>
      </c>
      <c r="C173" s="88" t="b">
        <f t="shared" si="77"/>
        <v>1</v>
      </c>
      <c r="D173" s="87" t="s">
        <v>908</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7"/>
        <v>1</v>
      </c>
      <c r="C174" s="88" t="b">
        <f t="shared" si="77"/>
        <v>1</v>
      </c>
      <c r="D174" s="87" t="s">
        <v>909</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7"/>
        <v>1</v>
      </c>
      <c r="C175" s="88" t="b">
        <f t="shared" si="77"/>
        <v>1</v>
      </c>
      <c r="D175" s="87" t="s">
        <v>910</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7"/>
        <v>1</v>
      </c>
      <c r="C176" s="88" t="b">
        <f t="shared" si="77"/>
        <v>1</v>
      </c>
      <c r="D176" s="87" t="s">
        <v>911</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7"/>
        <v>1</v>
      </c>
      <c r="C177" s="88" t="b">
        <f t="shared" si="77"/>
        <v>1</v>
      </c>
      <c r="D177" s="87" t="s">
        <v>926</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7"/>
        <v>1</v>
      </c>
      <c r="C178" s="88" t="b">
        <f t="shared" si="77"/>
        <v>1</v>
      </c>
      <c r="D178" s="87" t="s">
        <v>912</v>
      </c>
      <c r="E178" s="89">
        <f t="shared" si="70"/>
        <v>1.0651315789473685</v>
      </c>
      <c r="F178" s="89">
        <v>1</v>
      </c>
      <c r="G178" s="89" t="s">
        <v>106</v>
      </c>
      <c r="H178" s="91" t="s">
        <v>220</v>
      </c>
      <c r="I178" s="90" t="s">
        <v>22</v>
      </c>
      <c r="J178" s="89">
        <v>0</v>
      </c>
      <c r="K178" s="89" t="s">
        <v>106</v>
      </c>
      <c r="L178" s="91">
        <f>inp_scr_min</f>
        <v>10</v>
      </c>
      <c r="M178" s="91">
        <f t="shared" si="79"/>
        <v>10</v>
      </c>
      <c r="N178" s="91" t="s">
        <v>930</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300" t="s">
        <v>659</v>
      </c>
      <c r="B1" s="300"/>
      <c r="C1" s="300"/>
      <c r="D1" s="300"/>
      <c r="E1" s="301" t="s">
        <v>660</v>
      </c>
      <c r="F1" s="302"/>
      <c r="G1" s="302"/>
      <c r="H1" s="302"/>
      <c r="I1" s="302"/>
      <c r="J1" s="302"/>
      <c r="K1" s="302"/>
      <c r="L1" s="302"/>
      <c r="M1" s="303"/>
      <c r="N1" s="307" t="s">
        <v>78</v>
      </c>
      <c r="O1" s="308"/>
      <c r="P1" s="308"/>
      <c r="Q1" s="309"/>
      <c r="R1" s="301" t="s">
        <v>79</v>
      </c>
      <c r="S1" s="302"/>
      <c r="T1" s="302"/>
      <c r="U1" s="302"/>
      <c r="V1" s="307" t="s">
        <v>80</v>
      </c>
      <c r="W1" s="308"/>
      <c r="X1" s="308"/>
      <c r="Y1" s="309"/>
      <c r="Z1" s="304" t="s">
        <v>81</v>
      </c>
      <c r="AA1" s="305"/>
      <c r="AB1" s="305"/>
      <c r="AC1" s="306"/>
      <c r="AD1" s="307" t="s">
        <v>82</v>
      </c>
      <c r="AE1" s="308"/>
      <c r="AF1" s="308"/>
      <c r="AG1" s="309"/>
      <c r="AH1" s="304" t="s">
        <v>83</v>
      </c>
      <c r="AI1" s="305"/>
      <c r="AJ1" s="305"/>
      <c r="AK1" s="306"/>
      <c r="AL1" s="307" t="s">
        <v>84</v>
      </c>
      <c r="AM1" s="308"/>
      <c r="AN1" s="308"/>
      <c r="AO1" s="309"/>
      <c r="AP1" s="304" t="s">
        <v>85</v>
      </c>
      <c r="AQ1" s="305"/>
      <c r="AR1" s="305"/>
      <c r="AS1" s="306"/>
      <c r="AT1" s="307" t="s">
        <v>86</v>
      </c>
      <c r="AU1" s="308"/>
      <c r="AV1" s="308"/>
      <c r="AW1" s="309"/>
      <c r="AX1" s="304" t="s">
        <v>87</v>
      </c>
      <c r="AY1" s="305"/>
      <c r="AZ1" s="305"/>
      <c r="BA1" s="306"/>
      <c r="BB1" s="307" t="s">
        <v>88</v>
      </c>
      <c r="BC1" s="308"/>
      <c r="BD1" s="308"/>
      <c r="BE1" s="309"/>
      <c r="BF1" s="304" t="s">
        <v>89</v>
      </c>
      <c r="BG1" s="305"/>
      <c r="BH1" s="305"/>
      <c r="BI1" s="306"/>
    </row>
    <row r="2" spans="1:93" s="11" customFormat="1" ht="30" customHeight="1" x14ac:dyDescent="0.4">
      <c r="A2" s="9" t="s">
        <v>90</v>
      </c>
      <c r="B2" s="10" t="s">
        <v>91</v>
      </c>
      <c r="C2" s="10" t="s">
        <v>92</v>
      </c>
      <c r="D2" s="11" t="s">
        <v>93</v>
      </c>
      <c r="E2" s="12" t="s">
        <v>94</v>
      </c>
      <c r="F2" s="12" t="s">
        <v>95</v>
      </c>
      <c r="G2" s="12" t="s">
        <v>226</v>
      </c>
      <c r="H2" s="12" t="s">
        <v>97</v>
      </c>
      <c r="I2" s="12" t="s">
        <v>98</v>
      </c>
      <c r="J2" s="12" t="s">
        <v>742</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K3" sqref="K3"/>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0" t="s">
        <v>79</v>
      </c>
      <c r="T1" s="300"/>
      <c r="U1" s="300"/>
      <c r="V1" s="300"/>
      <c r="W1" s="310" t="s">
        <v>80</v>
      </c>
      <c r="X1" s="310"/>
      <c r="Y1" s="310"/>
      <c r="Z1" s="310"/>
      <c r="AA1" s="300" t="s">
        <v>81</v>
      </c>
      <c r="AB1" s="300"/>
      <c r="AC1" s="300"/>
      <c r="AD1" s="300"/>
      <c r="AE1" s="310" t="s">
        <v>82</v>
      </c>
      <c r="AF1" s="310"/>
      <c r="AG1" s="310"/>
      <c r="AH1" s="310"/>
      <c r="AI1" s="300" t="s">
        <v>83</v>
      </c>
      <c r="AJ1" s="300"/>
      <c r="AK1" s="300"/>
      <c r="AL1" s="300"/>
      <c r="AM1" s="310" t="s">
        <v>84</v>
      </c>
      <c r="AN1" s="310"/>
      <c r="AO1" s="310"/>
      <c r="AP1" s="310"/>
      <c r="AQ1" s="300" t="s">
        <v>85</v>
      </c>
      <c r="AR1" s="300"/>
      <c r="AS1" s="300"/>
      <c r="AT1" s="300"/>
      <c r="AU1" s="310" t="s">
        <v>86</v>
      </c>
      <c r="AV1" s="310"/>
      <c r="AW1" s="310"/>
      <c r="AX1" s="310"/>
      <c r="AY1" s="300" t="s">
        <v>87</v>
      </c>
      <c r="AZ1" s="300"/>
      <c r="BA1" s="300"/>
      <c r="BB1" s="300"/>
      <c r="BC1" s="310" t="s">
        <v>88</v>
      </c>
      <c r="BD1" s="310"/>
      <c r="BE1" s="310"/>
      <c r="BF1" s="310"/>
      <c r="BG1" s="300" t="s">
        <v>89</v>
      </c>
      <c r="BH1" s="300"/>
      <c r="BI1" s="300"/>
      <c r="BJ1" s="300"/>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742</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types'!$A$2:$A$274</xm:f>
          </x14:formula1>
          <xm:sqref>AI3:AI39 AE53:AE61 AA53:AA61 W53:W62 S53:S62 BG53:BG61 AM53:AM61 AQ53:AQ61 AU53:AU61 AY53:AY61 BC53:BC61 O53:O62 AI53:AI61 W3:W39 AA3:AA39 AE3:AE39 O41:O50 BC3:BC50 AY3:AY50 AU3:AU50 AQ3:AQ50 AM3:AM50 BG3:BG50 S41:S50 W41:W50 AA41:AA50 AE41:AE50 AI41:AI50 S3:S39 O3:O39</xm:sqref>
        </x14:dataValidation>
        <x14:dataValidation type="list" allowBlank="1" showInputMessage="1" showErrorMessage="1" xr:uid="{00000000-0002-0000-0400-000004000000}">
          <x14:formula1>
            <xm:f>'Event types'!$A$2:$A$941</xm:f>
          </x14:formula1>
          <xm:sqref>AI40 AE40 AA40 W40 O40 S40 O63:O1048576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300" t="s">
        <v>659</v>
      </c>
      <c r="B1" s="300"/>
      <c r="C1" s="300"/>
      <c r="D1" s="300"/>
      <c r="E1" s="301" t="s">
        <v>660</v>
      </c>
      <c r="F1" s="302"/>
      <c r="G1" s="302"/>
      <c r="H1" s="302"/>
      <c r="I1" s="302"/>
      <c r="J1" s="302"/>
      <c r="K1" s="302"/>
      <c r="L1" s="302"/>
      <c r="M1" s="302"/>
      <c r="N1" s="303"/>
      <c r="O1" s="310" t="s">
        <v>78</v>
      </c>
      <c r="P1" s="310"/>
      <c r="Q1" s="310"/>
      <c r="R1" s="310"/>
      <c r="S1" s="301" t="s">
        <v>79</v>
      </c>
      <c r="T1" s="302"/>
      <c r="U1" s="302"/>
      <c r="V1" s="302"/>
      <c r="W1" s="310" t="s">
        <v>80</v>
      </c>
      <c r="X1" s="310"/>
      <c r="Y1" s="310"/>
      <c r="Z1" s="310"/>
      <c r="AA1" s="301" t="s">
        <v>81</v>
      </c>
      <c r="AB1" s="302"/>
      <c r="AC1" s="302"/>
      <c r="AD1" s="302"/>
      <c r="AE1" s="310" t="s">
        <v>82</v>
      </c>
      <c r="AF1" s="310"/>
      <c r="AG1" s="310"/>
      <c r="AH1" s="310"/>
      <c r="AI1" s="301" t="s">
        <v>83</v>
      </c>
      <c r="AJ1" s="302"/>
      <c r="AK1" s="302"/>
      <c r="AL1" s="302"/>
      <c r="AM1" s="310" t="s">
        <v>84</v>
      </c>
      <c r="AN1" s="310"/>
      <c r="AO1" s="310"/>
      <c r="AP1" s="310"/>
      <c r="AQ1" s="301" t="s">
        <v>85</v>
      </c>
      <c r="AR1" s="302"/>
      <c r="AS1" s="302"/>
      <c r="AT1" s="302"/>
      <c r="AU1" s="310" t="s">
        <v>86</v>
      </c>
      <c r="AV1" s="310"/>
      <c r="AW1" s="310"/>
      <c r="AX1" s="310"/>
      <c r="AY1" s="301" t="s">
        <v>87</v>
      </c>
      <c r="AZ1" s="302"/>
      <c r="BA1" s="302"/>
      <c r="BB1" s="302"/>
      <c r="BC1" s="310" t="s">
        <v>88</v>
      </c>
      <c r="BD1" s="310"/>
      <c r="BE1" s="310"/>
      <c r="BF1" s="310"/>
      <c r="BG1" s="301" t="s">
        <v>89</v>
      </c>
      <c r="BH1" s="302"/>
      <c r="BI1" s="302"/>
      <c r="BJ1" s="302"/>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types'!$A$2:$A$941</xm:f>
          </x14:formula1>
          <xm:sqref>O4:O13 AI15:AI19 AE14:AE19 W14:W19 S14:S19 AA14:AA19 W56:W61 W36:W38 AE36:AE38 AA56:AA61 O82:O1048576 O20:O38</xm:sqref>
        </x14:dataValidation>
        <x14:dataValidation type="list" allowBlank="1" showInputMessage="1" showErrorMessage="1" xr:uid="{00000000-0002-0000-0500-000004000000}">
          <x14:formula1>
            <xm:f>'Event types'!$A$2:$A$48</xm:f>
          </x14:formula1>
          <xm:sqref>S3:S13 AA36:AA38 S20:S1048576 O39:O81</xm:sqref>
        </x14:dataValidation>
        <x14:dataValidation type="list" allowBlank="1" showInputMessage="1" showErrorMessage="1" xr:uid="{00000000-0002-0000-0500-000005000000}">
          <x14:formula1>
            <xm:f>'Event types'!$A$2:$A$94</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K43" sqref="K43"/>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913</v>
      </c>
      <c r="B3" s="113" t="s">
        <v>916</v>
      </c>
      <c r="C3" s="113" t="s">
        <v>917</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914</v>
      </c>
      <c r="B5" s="113" t="s">
        <v>915</v>
      </c>
      <c r="C5" s="113" t="s">
        <v>918</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11" t="s">
        <v>508</v>
      </c>
      <c r="D2" s="175" t="s">
        <v>509</v>
      </c>
    </row>
    <row r="3" spans="1:4" x14ac:dyDescent="0.4">
      <c r="A3" s="152">
        <v>2</v>
      </c>
      <c r="B3" s="152" t="s">
        <v>488</v>
      </c>
      <c r="C3" s="312"/>
      <c r="D3" s="168" t="s">
        <v>510</v>
      </c>
    </row>
    <row r="4" spans="1:4" x14ac:dyDescent="0.4">
      <c r="A4" s="152">
        <v>3</v>
      </c>
      <c r="B4" s="152" t="s">
        <v>489</v>
      </c>
      <c r="C4" s="312"/>
      <c r="D4" s="168" t="s">
        <v>11</v>
      </c>
    </row>
    <row r="5" spans="1:4" x14ac:dyDescent="0.4">
      <c r="A5" s="152">
        <v>4</v>
      </c>
      <c r="B5" s="152" t="s">
        <v>490</v>
      </c>
      <c r="C5" s="312"/>
      <c r="D5" s="168" t="s">
        <v>11</v>
      </c>
    </row>
    <row r="6" spans="1:4" x14ac:dyDescent="0.4">
      <c r="A6" s="152">
        <v>5</v>
      </c>
      <c r="B6" s="152" t="s">
        <v>491</v>
      </c>
      <c r="C6" s="312"/>
      <c r="D6" s="168" t="s">
        <v>11</v>
      </c>
    </row>
    <row r="7" spans="1:4" x14ac:dyDescent="0.4">
      <c r="A7" s="152">
        <v>6</v>
      </c>
      <c r="B7" s="152" t="s">
        <v>492</v>
      </c>
      <c r="C7" s="312"/>
      <c r="D7" s="168" t="s">
        <v>11</v>
      </c>
    </row>
    <row r="8" spans="1:4" x14ac:dyDescent="0.4">
      <c r="A8" s="152">
        <v>7</v>
      </c>
      <c r="B8" s="152" t="s">
        <v>493</v>
      </c>
      <c r="C8" s="312"/>
      <c r="D8" s="168" t="s">
        <v>11</v>
      </c>
    </row>
    <row r="9" spans="1:4" x14ac:dyDescent="0.4">
      <c r="A9" s="152">
        <v>8</v>
      </c>
      <c r="B9" s="152" t="s">
        <v>494</v>
      </c>
      <c r="C9" s="312"/>
      <c r="D9" s="168" t="s">
        <v>11</v>
      </c>
    </row>
    <row r="10" spans="1:4" x14ac:dyDescent="0.4">
      <c r="A10" s="152">
        <v>9</v>
      </c>
      <c r="B10" s="152" t="s">
        <v>495</v>
      </c>
      <c r="C10" s="312"/>
      <c r="D10" s="168" t="s">
        <v>11</v>
      </c>
    </row>
    <row r="11" spans="1:4" ht="15" thickBot="1" x14ac:dyDescent="0.45">
      <c r="A11" s="155">
        <v>10</v>
      </c>
      <c r="B11" s="155" t="s">
        <v>505</v>
      </c>
      <c r="C11" s="313"/>
      <c r="D11" s="172" t="s">
        <v>11</v>
      </c>
    </row>
    <row r="12" spans="1:4" x14ac:dyDescent="0.4">
      <c r="A12" s="157">
        <v>11</v>
      </c>
      <c r="B12" s="157" t="s">
        <v>239</v>
      </c>
      <c r="C12" s="311" t="s">
        <v>511</v>
      </c>
      <c r="D12" s="175" t="s">
        <v>512</v>
      </c>
    </row>
    <row r="13" spans="1:4" x14ac:dyDescent="0.4">
      <c r="A13" s="158">
        <v>12</v>
      </c>
      <c r="B13" s="158" t="s">
        <v>240</v>
      </c>
      <c r="C13" s="312"/>
      <c r="D13" s="168" t="s">
        <v>513</v>
      </c>
    </row>
    <row r="14" spans="1:4" x14ac:dyDescent="0.4">
      <c r="A14" s="158">
        <v>13</v>
      </c>
      <c r="B14" s="158" t="s">
        <v>241</v>
      </c>
      <c r="C14" s="312"/>
      <c r="D14" s="168" t="s">
        <v>11</v>
      </c>
    </row>
    <row r="15" spans="1:4" x14ac:dyDescent="0.4">
      <c r="A15" s="158">
        <v>14</v>
      </c>
      <c r="B15" s="158" t="s">
        <v>242</v>
      </c>
      <c r="C15" s="312"/>
      <c r="D15" s="168" t="s">
        <v>11</v>
      </c>
    </row>
    <row r="16" spans="1:4" x14ac:dyDescent="0.4">
      <c r="A16" s="158">
        <v>15</v>
      </c>
      <c r="B16" s="158" t="s">
        <v>243</v>
      </c>
      <c r="C16" s="312"/>
      <c r="D16" s="168" t="s">
        <v>11</v>
      </c>
    </row>
    <row r="17" spans="1:4" ht="15" thickBot="1" x14ac:dyDescent="0.45">
      <c r="A17" s="159">
        <v>16</v>
      </c>
      <c r="B17" s="159" t="s">
        <v>244</v>
      </c>
      <c r="C17" s="313"/>
      <c r="D17" s="172" t="s">
        <v>11</v>
      </c>
    </row>
    <row r="18" spans="1:4" x14ac:dyDescent="0.4">
      <c r="A18" s="160">
        <v>17</v>
      </c>
      <c r="B18" s="160" t="s">
        <v>245</v>
      </c>
      <c r="C18" s="311" t="s">
        <v>108</v>
      </c>
      <c r="D18" s="175" t="s">
        <v>514</v>
      </c>
    </row>
    <row r="19" spans="1:4" x14ac:dyDescent="0.4">
      <c r="A19" s="162">
        <v>18</v>
      </c>
      <c r="B19" s="162" t="s">
        <v>246</v>
      </c>
      <c r="C19" s="312"/>
      <c r="D19" s="168" t="s">
        <v>515</v>
      </c>
    </row>
    <row r="20" spans="1:4" x14ac:dyDescent="0.4">
      <c r="A20" s="161">
        <v>19</v>
      </c>
      <c r="B20" s="161" t="s">
        <v>247</v>
      </c>
      <c r="C20" s="312"/>
      <c r="D20" s="168" t="s">
        <v>516</v>
      </c>
    </row>
    <row r="21" spans="1:4" x14ac:dyDescent="0.4">
      <c r="A21" s="161">
        <v>20</v>
      </c>
      <c r="B21" s="161" t="s">
        <v>248</v>
      </c>
      <c r="C21" s="312"/>
      <c r="D21" s="168" t="s">
        <v>517</v>
      </c>
    </row>
    <row r="22" spans="1:4" x14ac:dyDescent="0.4">
      <c r="A22" s="161">
        <v>21</v>
      </c>
      <c r="B22" s="161" t="s">
        <v>249</v>
      </c>
      <c r="C22" s="312"/>
      <c r="D22" s="168" t="s">
        <v>518</v>
      </c>
    </row>
    <row r="23" spans="1:4" x14ac:dyDescent="0.4">
      <c r="A23" s="161">
        <v>22</v>
      </c>
      <c r="B23" s="161" t="s">
        <v>250</v>
      </c>
      <c r="C23" s="312"/>
      <c r="D23" s="168" t="s">
        <v>519</v>
      </c>
    </row>
    <row r="24" spans="1:4" x14ac:dyDescent="0.4">
      <c r="A24" s="161">
        <v>23</v>
      </c>
      <c r="B24" s="161" t="s">
        <v>485</v>
      </c>
      <c r="C24" s="312"/>
      <c r="D24" s="168" t="s">
        <v>11</v>
      </c>
    </row>
    <row r="25" spans="1:4" x14ac:dyDescent="0.4">
      <c r="A25" s="161">
        <v>24</v>
      </c>
      <c r="B25" s="161" t="s">
        <v>486</v>
      </c>
      <c r="C25" s="312"/>
      <c r="D25" s="168" t="s">
        <v>520</v>
      </c>
    </row>
    <row r="26" spans="1:4" x14ac:dyDescent="0.4">
      <c r="A26" s="161">
        <v>25</v>
      </c>
      <c r="B26" s="161" t="s">
        <v>251</v>
      </c>
      <c r="C26" s="312"/>
      <c r="D26" s="168" t="s">
        <v>11</v>
      </c>
    </row>
    <row r="27" spans="1:4" ht="15" customHeight="1" x14ac:dyDescent="0.4">
      <c r="A27" s="162">
        <v>26</v>
      </c>
      <c r="B27" s="162" t="s">
        <v>496</v>
      </c>
      <c r="C27" s="312"/>
      <c r="D27" s="168" t="s">
        <v>521</v>
      </c>
    </row>
    <row r="28" spans="1:4" ht="15" thickBot="1" x14ac:dyDescent="0.45">
      <c r="A28" s="162">
        <v>27</v>
      </c>
      <c r="B28" s="162" t="s">
        <v>497</v>
      </c>
      <c r="C28" s="313"/>
      <c r="D28" s="168" t="s">
        <v>522</v>
      </c>
    </row>
    <row r="29" spans="1:4" ht="30" customHeight="1" x14ac:dyDescent="0.4">
      <c r="A29" s="164">
        <v>28</v>
      </c>
      <c r="B29" s="164" t="s">
        <v>252</v>
      </c>
      <c r="C29" s="311" t="s">
        <v>523</v>
      </c>
      <c r="D29" s="175" t="s">
        <v>524</v>
      </c>
    </row>
    <row r="30" spans="1:4" ht="58.3" x14ac:dyDescent="0.4">
      <c r="A30" s="166">
        <v>29</v>
      </c>
      <c r="B30" s="166" t="s">
        <v>253</v>
      </c>
      <c r="C30" s="312"/>
      <c r="D30" s="168" t="s">
        <v>656</v>
      </c>
    </row>
    <row r="31" spans="1:4" x14ac:dyDescent="0.4">
      <c r="A31" s="167">
        <v>30</v>
      </c>
      <c r="B31" s="167" t="s">
        <v>254</v>
      </c>
      <c r="C31" s="312"/>
      <c r="D31" s="168" t="s">
        <v>525</v>
      </c>
    </row>
    <row r="32" spans="1:4" x14ac:dyDescent="0.4">
      <c r="A32" s="167">
        <v>31</v>
      </c>
      <c r="B32" s="167" t="s">
        <v>255</v>
      </c>
      <c r="C32" s="312"/>
      <c r="D32" s="168" t="s">
        <v>526</v>
      </c>
    </row>
    <row r="33" spans="1:8" ht="29.15" x14ac:dyDescent="0.4">
      <c r="A33" s="167">
        <v>32</v>
      </c>
      <c r="B33" s="167" t="s">
        <v>256</v>
      </c>
      <c r="C33" s="312"/>
      <c r="D33" s="168" t="s">
        <v>527</v>
      </c>
    </row>
    <row r="34" spans="1:8" x14ac:dyDescent="0.4">
      <c r="A34" s="166">
        <v>33</v>
      </c>
      <c r="B34" s="166" t="s">
        <v>257</v>
      </c>
      <c r="C34" s="312"/>
      <c r="D34" s="168" t="s">
        <v>528</v>
      </c>
    </row>
    <row r="35" spans="1:8" x14ac:dyDescent="0.4">
      <c r="A35" s="167">
        <v>34</v>
      </c>
      <c r="B35" s="167" t="s">
        <v>258</v>
      </c>
      <c r="C35" s="312"/>
      <c r="D35" s="168" t="s">
        <v>529</v>
      </c>
    </row>
    <row r="36" spans="1:8" x14ac:dyDescent="0.4">
      <c r="A36" s="166">
        <v>35</v>
      </c>
      <c r="B36" s="166" t="s">
        <v>259</v>
      </c>
      <c r="C36" s="312"/>
      <c r="D36" s="168" t="s">
        <v>529</v>
      </c>
    </row>
    <row r="37" spans="1:8" x14ac:dyDescent="0.4">
      <c r="A37" s="167">
        <v>36</v>
      </c>
      <c r="B37" s="167" t="s">
        <v>260</v>
      </c>
      <c r="C37" s="312"/>
      <c r="D37" s="168" t="s">
        <v>530</v>
      </c>
    </row>
    <row r="38" spans="1:8" x14ac:dyDescent="0.4">
      <c r="A38" s="166">
        <v>37</v>
      </c>
      <c r="B38" s="166" t="s">
        <v>261</v>
      </c>
      <c r="C38" s="312"/>
      <c r="D38" s="168" t="s">
        <v>530</v>
      </c>
    </row>
    <row r="39" spans="1:8" ht="43.75" x14ac:dyDescent="0.4">
      <c r="A39" s="167">
        <v>38</v>
      </c>
      <c r="B39" s="167" t="s">
        <v>262</v>
      </c>
      <c r="C39" s="312"/>
      <c r="D39" s="168" t="s">
        <v>651</v>
      </c>
    </row>
    <row r="40" spans="1:8" ht="15" customHeight="1" x14ac:dyDescent="0.4">
      <c r="A40" s="166">
        <v>39</v>
      </c>
      <c r="B40" s="166" t="s">
        <v>263</v>
      </c>
      <c r="C40" s="312"/>
      <c r="D40" s="168" t="s">
        <v>531</v>
      </c>
    </row>
    <row r="41" spans="1:8" x14ac:dyDescent="0.4">
      <c r="A41" s="167">
        <v>40</v>
      </c>
      <c r="B41" s="167" t="s">
        <v>264</v>
      </c>
      <c r="C41" s="312"/>
      <c r="D41" s="168" t="s">
        <v>532</v>
      </c>
    </row>
    <row r="42" spans="1:8" ht="72.900000000000006" x14ac:dyDescent="0.4">
      <c r="A42" s="166">
        <v>41</v>
      </c>
      <c r="B42" s="166" t="s">
        <v>498</v>
      </c>
      <c r="C42" s="312"/>
      <c r="D42" s="168" t="s">
        <v>533</v>
      </c>
    </row>
    <row r="43" spans="1:8" ht="29.6" thickBot="1" x14ac:dyDescent="0.45">
      <c r="A43" s="170">
        <v>42</v>
      </c>
      <c r="B43" s="170" t="s">
        <v>499</v>
      </c>
      <c r="C43" s="313"/>
      <c r="D43" s="172" t="s">
        <v>534</v>
      </c>
      <c r="H43" s="173"/>
    </row>
    <row r="44" spans="1:8" ht="30" customHeight="1" x14ac:dyDescent="0.4">
      <c r="A44" s="174">
        <v>43</v>
      </c>
      <c r="B44" s="174" t="s">
        <v>265</v>
      </c>
      <c r="C44" s="311" t="s">
        <v>535</v>
      </c>
      <c r="D44" s="175" t="s">
        <v>536</v>
      </c>
    </row>
    <row r="45" spans="1:8" x14ac:dyDescent="0.4">
      <c r="A45" s="176">
        <v>44</v>
      </c>
      <c r="B45" s="176" t="s">
        <v>266</v>
      </c>
      <c r="C45" s="312"/>
      <c r="D45" s="168" t="s">
        <v>11</v>
      </c>
    </row>
    <row r="46" spans="1:8" x14ac:dyDescent="0.4">
      <c r="A46" s="176">
        <v>45</v>
      </c>
      <c r="B46" s="176" t="s">
        <v>267</v>
      </c>
      <c r="C46" s="312"/>
      <c r="D46" s="168" t="s">
        <v>536</v>
      </c>
    </row>
    <row r="47" spans="1:8" ht="29.15" x14ac:dyDescent="0.4">
      <c r="A47" s="176">
        <v>46</v>
      </c>
      <c r="B47" s="176" t="s">
        <v>268</v>
      </c>
      <c r="C47" s="312"/>
      <c r="D47" s="168" t="s">
        <v>537</v>
      </c>
    </row>
    <row r="48" spans="1:8" x14ac:dyDescent="0.4">
      <c r="A48" s="176">
        <v>47</v>
      </c>
      <c r="B48" s="176" t="s">
        <v>269</v>
      </c>
      <c r="C48" s="312"/>
      <c r="D48" s="168" t="s">
        <v>11</v>
      </c>
    </row>
    <row r="49" spans="1:4" x14ac:dyDescent="0.4">
      <c r="A49" s="176">
        <v>48</v>
      </c>
      <c r="B49" s="176" t="s">
        <v>270</v>
      </c>
      <c r="C49" s="312"/>
      <c r="D49" s="168" t="s">
        <v>538</v>
      </c>
    </row>
    <row r="50" spans="1:4" x14ac:dyDescent="0.4">
      <c r="A50" s="176">
        <v>49</v>
      </c>
      <c r="B50" s="176" t="s">
        <v>271</v>
      </c>
      <c r="C50" s="312"/>
      <c r="D50" s="168" t="s">
        <v>11</v>
      </c>
    </row>
    <row r="51" spans="1:4" ht="29.15" x14ac:dyDescent="0.4">
      <c r="A51" s="176">
        <v>50</v>
      </c>
      <c r="B51" s="176" t="s">
        <v>272</v>
      </c>
      <c r="C51" s="312"/>
      <c r="D51" s="168" t="s">
        <v>657</v>
      </c>
    </row>
    <row r="52" spans="1:4" ht="29.15" x14ac:dyDescent="0.4">
      <c r="A52" s="176">
        <v>51</v>
      </c>
      <c r="B52" s="176" t="s">
        <v>273</v>
      </c>
      <c r="C52" s="312"/>
      <c r="D52" s="168" t="s">
        <v>537</v>
      </c>
    </row>
    <row r="53" spans="1:4" ht="15" thickBot="1" x14ac:dyDescent="0.45">
      <c r="A53" s="177">
        <v>52</v>
      </c>
      <c r="B53" s="177" t="s">
        <v>274</v>
      </c>
      <c r="C53" s="313"/>
      <c r="D53" s="172" t="s">
        <v>11</v>
      </c>
    </row>
    <row r="54" spans="1:4" ht="43.75" x14ac:dyDescent="0.4">
      <c r="A54" s="178">
        <v>53</v>
      </c>
      <c r="B54" s="178" t="s">
        <v>275</v>
      </c>
      <c r="C54" s="311" t="s">
        <v>539</v>
      </c>
      <c r="D54" s="168" t="s">
        <v>540</v>
      </c>
    </row>
    <row r="55" spans="1:4" x14ac:dyDescent="0.4">
      <c r="A55" s="178">
        <v>54</v>
      </c>
      <c r="B55" s="178" t="s">
        <v>276</v>
      </c>
      <c r="C55" s="312"/>
      <c r="D55" s="168" t="s">
        <v>541</v>
      </c>
    </row>
    <row r="56" spans="1:4" x14ac:dyDescent="0.4">
      <c r="A56" s="178">
        <v>55</v>
      </c>
      <c r="B56" s="178" t="s">
        <v>277</v>
      </c>
      <c r="C56" s="312"/>
      <c r="D56" s="168" t="s">
        <v>542</v>
      </c>
    </row>
    <row r="57" spans="1:4" ht="15" thickBot="1" x14ac:dyDescent="0.45">
      <c r="A57" s="178">
        <v>56</v>
      </c>
      <c r="B57" s="178" t="s">
        <v>278</v>
      </c>
      <c r="C57" s="313"/>
      <c r="D57" s="168" t="s">
        <v>543</v>
      </c>
    </row>
    <row r="58" spans="1:4" x14ac:dyDescent="0.4">
      <c r="A58" s="231">
        <v>57</v>
      </c>
      <c r="B58" s="231" t="s">
        <v>731</v>
      </c>
      <c r="C58" s="311" t="s">
        <v>544</v>
      </c>
      <c r="D58" s="175" t="s">
        <v>738</v>
      </c>
    </row>
    <row r="59" spans="1:4" x14ac:dyDescent="0.4">
      <c r="A59" s="277">
        <v>58</v>
      </c>
      <c r="B59" s="277" t="s">
        <v>732</v>
      </c>
      <c r="C59" s="312"/>
      <c r="D59" s="279" t="s">
        <v>737</v>
      </c>
    </row>
    <row r="60" spans="1:4" ht="87.9" thickBot="1" x14ac:dyDescent="0.45">
      <c r="A60" s="179">
        <v>59</v>
      </c>
      <c r="B60" s="179" t="s">
        <v>652</v>
      </c>
      <c r="C60" s="313"/>
      <c r="D60" s="172" t="s">
        <v>655</v>
      </c>
    </row>
    <row r="61" spans="1:4" x14ac:dyDescent="0.4">
      <c r="A61" s="180">
        <v>60</v>
      </c>
      <c r="B61" s="180" t="s">
        <v>279</v>
      </c>
      <c r="C61" s="311" t="s">
        <v>545</v>
      </c>
      <c r="D61" s="168" t="s">
        <v>546</v>
      </c>
    </row>
    <row r="62" spans="1:4" x14ac:dyDescent="0.4">
      <c r="A62" s="180">
        <v>61</v>
      </c>
      <c r="B62" s="180" t="s">
        <v>280</v>
      </c>
      <c r="C62" s="312"/>
      <c r="D62" s="168" t="s">
        <v>547</v>
      </c>
    </row>
    <row r="63" spans="1:4" x14ac:dyDescent="0.4">
      <c r="A63" s="180">
        <v>62</v>
      </c>
      <c r="B63" s="180" t="s">
        <v>281</v>
      </c>
      <c r="C63" s="312"/>
      <c r="D63" s="168" t="s">
        <v>548</v>
      </c>
    </row>
    <row r="64" spans="1:4" x14ac:dyDescent="0.4">
      <c r="A64" s="180">
        <v>63</v>
      </c>
      <c r="B64" s="180" t="s">
        <v>282</v>
      </c>
      <c r="C64" s="312"/>
      <c r="D64" s="168" t="s">
        <v>549</v>
      </c>
    </row>
    <row r="65" spans="1:4" x14ac:dyDescent="0.4">
      <c r="A65" s="180">
        <v>64</v>
      </c>
      <c r="B65" s="180" t="s">
        <v>283</v>
      </c>
      <c r="C65" s="312"/>
      <c r="D65" s="168" t="s">
        <v>550</v>
      </c>
    </row>
    <row r="66" spans="1:4" x14ac:dyDescent="0.4">
      <c r="A66" s="180">
        <v>65</v>
      </c>
      <c r="B66" s="180" t="s">
        <v>284</v>
      </c>
      <c r="C66" s="312"/>
      <c r="D66" s="168" t="s">
        <v>551</v>
      </c>
    </row>
    <row r="67" spans="1:4" x14ac:dyDescent="0.4">
      <c r="A67" s="180">
        <v>66</v>
      </c>
      <c r="B67" s="180" t="s">
        <v>285</v>
      </c>
      <c r="C67" s="312"/>
      <c r="D67" s="168" t="s">
        <v>552</v>
      </c>
    </row>
    <row r="68" spans="1:4" x14ac:dyDescent="0.4">
      <c r="A68" s="180">
        <v>67</v>
      </c>
      <c r="B68" s="180" t="s">
        <v>664</v>
      </c>
      <c r="C68" s="312"/>
      <c r="D68" s="168" t="s">
        <v>689</v>
      </c>
    </row>
    <row r="69" spans="1:4" x14ac:dyDescent="0.4">
      <c r="A69" s="239">
        <v>68</v>
      </c>
      <c r="B69" s="239" t="s">
        <v>674</v>
      </c>
      <c r="C69" s="312"/>
      <c r="D69" s="168" t="s">
        <v>690</v>
      </c>
    </row>
    <row r="70" spans="1:4" ht="15" thickBot="1" x14ac:dyDescent="0.45">
      <c r="A70" s="181">
        <v>69</v>
      </c>
      <c r="B70" s="181" t="s">
        <v>286</v>
      </c>
      <c r="C70" s="313"/>
      <c r="D70" s="172" t="s">
        <v>553</v>
      </c>
    </row>
    <row r="71" spans="1:4" x14ac:dyDescent="0.4">
      <c r="A71" s="183">
        <v>70</v>
      </c>
      <c r="B71" s="183" t="s">
        <v>287</v>
      </c>
      <c r="C71" s="311" t="s">
        <v>554</v>
      </c>
      <c r="D71" s="175" t="s">
        <v>555</v>
      </c>
    </row>
    <row r="72" spans="1:4" x14ac:dyDescent="0.4">
      <c r="A72" s="185">
        <v>71</v>
      </c>
      <c r="B72" s="185" t="s">
        <v>288</v>
      </c>
      <c r="C72" s="312"/>
      <c r="D72" s="168" t="s">
        <v>11</v>
      </c>
    </row>
    <row r="73" spans="1:4" x14ac:dyDescent="0.4">
      <c r="A73" s="185">
        <v>72</v>
      </c>
      <c r="B73" s="185" t="s">
        <v>289</v>
      </c>
      <c r="C73" s="312"/>
      <c r="D73" s="168" t="s">
        <v>11</v>
      </c>
    </row>
    <row r="74" spans="1:4" x14ac:dyDescent="0.4">
      <c r="A74" s="185">
        <v>73</v>
      </c>
      <c r="B74" s="185" t="s">
        <v>666</v>
      </c>
      <c r="C74" s="312"/>
      <c r="D74" s="168" t="s">
        <v>11</v>
      </c>
    </row>
    <row r="75" spans="1:4" x14ac:dyDescent="0.4">
      <c r="A75" s="185">
        <v>74</v>
      </c>
      <c r="B75" s="185" t="s">
        <v>290</v>
      </c>
      <c r="C75" s="312"/>
      <c r="D75" s="168" t="s">
        <v>11</v>
      </c>
    </row>
    <row r="76" spans="1:4" x14ac:dyDescent="0.4">
      <c r="A76" s="185">
        <v>75</v>
      </c>
      <c r="B76" s="185" t="s">
        <v>291</v>
      </c>
      <c r="C76" s="312"/>
      <c r="D76" s="168" t="s">
        <v>556</v>
      </c>
    </row>
    <row r="77" spans="1:4" x14ac:dyDescent="0.4">
      <c r="A77" s="185">
        <v>76</v>
      </c>
      <c r="B77" s="185" t="s">
        <v>292</v>
      </c>
      <c r="C77" s="312"/>
      <c r="D77" s="168" t="s">
        <v>11</v>
      </c>
    </row>
    <row r="78" spans="1:4" x14ac:dyDescent="0.4">
      <c r="A78" s="185">
        <v>77</v>
      </c>
      <c r="B78" s="185" t="s">
        <v>293</v>
      </c>
      <c r="C78" s="312"/>
      <c r="D78" s="168" t="s">
        <v>11</v>
      </c>
    </row>
    <row r="79" spans="1:4" x14ac:dyDescent="0.4">
      <c r="A79" s="185">
        <v>78</v>
      </c>
      <c r="B79" s="185" t="s">
        <v>294</v>
      </c>
      <c r="C79" s="312"/>
      <c r="D79" s="168" t="s">
        <v>11</v>
      </c>
    </row>
    <row r="80" spans="1:4" x14ac:dyDescent="0.4">
      <c r="A80" s="185">
        <v>79</v>
      </c>
      <c r="B80" s="185" t="s">
        <v>667</v>
      </c>
      <c r="C80" s="312"/>
      <c r="D80" s="168" t="s">
        <v>11</v>
      </c>
    </row>
    <row r="81" spans="1:4" x14ac:dyDescent="0.4">
      <c r="A81" s="185">
        <v>80</v>
      </c>
      <c r="B81" s="185" t="s">
        <v>295</v>
      </c>
      <c r="C81" s="312"/>
      <c r="D81" s="168" t="s">
        <v>11</v>
      </c>
    </row>
    <row r="82" spans="1:4" x14ac:dyDescent="0.4">
      <c r="A82" s="185">
        <v>81</v>
      </c>
      <c r="B82" s="185" t="s">
        <v>296</v>
      </c>
      <c r="C82" s="312"/>
      <c r="D82" s="168" t="s">
        <v>556</v>
      </c>
    </row>
    <row r="83" spans="1:4" x14ac:dyDescent="0.4">
      <c r="A83" s="185">
        <v>82</v>
      </c>
      <c r="B83" s="185" t="s">
        <v>297</v>
      </c>
      <c r="C83" s="312"/>
      <c r="D83" s="168" t="s">
        <v>11</v>
      </c>
    </row>
    <row r="84" spans="1:4" x14ac:dyDescent="0.4">
      <c r="A84" s="185">
        <v>83</v>
      </c>
      <c r="B84" s="185" t="s">
        <v>298</v>
      </c>
      <c r="C84" s="312"/>
      <c r="D84" s="168" t="s">
        <v>11</v>
      </c>
    </row>
    <row r="85" spans="1:4" x14ac:dyDescent="0.4">
      <c r="A85" s="186">
        <v>84</v>
      </c>
      <c r="B85" s="186" t="s">
        <v>299</v>
      </c>
      <c r="C85" s="312"/>
      <c r="D85" s="168" t="s">
        <v>11</v>
      </c>
    </row>
    <row r="86" spans="1:4" x14ac:dyDescent="0.4">
      <c r="A86" s="186">
        <v>85</v>
      </c>
      <c r="B86" s="186" t="s">
        <v>665</v>
      </c>
      <c r="C86" s="312"/>
      <c r="D86" s="168" t="s">
        <v>11</v>
      </c>
    </row>
    <row r="87" spans="1:4" x14ac:dyDescent="0.4">
      <c r="A87" s="186">
        <v>86</v>
      </c>
      <c r="B87" s="186" t="s">
        <v>300</v>
      </c>
      <c r="C87" s="312"/>
      <c r="D87" s="168" t="s">
        <v>11</v>
      </c>
    </row>
    <row r="88" spans="1:4" x14ac:dyDescent="0.4">
      <c r="A88" s="186">
        <v>87</v>
      </c>
      <c r="B88" s="186" t="s">
        <v>301</v>
      </c>
      <c r="C88" s="312"/>
      <c r="D88" s="168" t="s">
        <v>556</v>
      </c>
    </row>
    <row r="89" spans="1:4" x14ac:dyDescent="0.4">
      <c r="A89" s="186">
        <v>88</v>
      </c>
      <c r="B89" s="186" t="s">
        <v>302</v>
      </c>
      <c r="C89" s="312"/>
      <c r="D89" s="168" t="s">
        <v>557</v>
      </c>
    </row>
    <row r="90" spans="1:4" x14ac:dyDescent="0.4">
      <c r="A90" s="187">
        <v>89</v>
      </c>
      <c r="B90" s="187" t="s">
        <v>303</v>
      </c>
      <c r="C90" s="312"/>
      <c r="D90" s="168" t="s">
        <v>558</v>
      </c>
    </row>
    <row r="91" spans="1:4" x14ac:dyDescent="0.4">
      <c r="A91" s="187">
        <v>90</v>
      </c>
      <c r="B91" s="187" t="s">
        <v>304</v>
      </c>
      <c r="C91" s="312"/>
      <c r="D91" s="168" t="s">
        <v>559</v>
      </c>
    </row>
    <row r="92" spans="1:4" x14ac:dyDescent="0.4">
      <c r="A92" s="187">
        <v>91</v>
      </c>
      <c r="B92" s="187" t="s">
        <v>305</v>
      </c>
      <c r="C92" s="312"/>
      <c r="D92" s="168" t="s">
        <v>560</v>
      </c>
    </row>
    <row r="93" spans="1:4" x14ac:dyDescent="0.4">
      <c r="A93" s="187">
        <v>92</v>
      </c>
      <c r="B93" s="187" t="s">
        <v>306</v>
      </c>
      <c r="C93" s="312"/>
      <c r="D93" s="168" t="s">
        <v>561</v>
      </c>
    </row>
    <row r="94" spans="1:4" ht="15" thickBot="1" x14ac:dyDescent="0.45">
      <c r="A94" s="189">
        <v>93</v>
      </c>
      <c r="B94" s="189" t="s">
        <v>307</v>
      </c>
      <c r="C94" s="313"/>
      <c r="D94" s="172" t="s">
        <v>562</v>
      </c>
    </row>
    <row r="95" spans="1:4" x14ac:dyDescent="0.4">
      <c r="A95" s="190">
        <v>94</v>
      </c>
      <c r="B95" s="190" t="s">
        <v>308</v>
      </c>
      <c r="C95" s="311" t="s">
        <v>563</v>
      </c>
      <c r="D95" s="168" t="s">
        <v>564</v>
      </c>
    </row>
    <row r="96" spans="1:4" ht="15" customHeight="1" x14ac:dyDescent="0.4">
      <c r="A96" s="190">
        <v>95</v>
      </c>
      <c r="B96" s="190" t="s">
        <v>432</v>
      </c>
      <c r="C96" s="312"/>
      <c r="D96" s="278" t="s">
        <v>565</v>
      </c>
    </row>
    <row r="97" spans="1:4" ht="43.75" x14ac:dyDescent="0.4">
      <c r="A97" s="190">
        <v>96</v>
      </c>
      <c r="B97" s="190" t="s">
        <v>309</v>
      </c>
      <c r="C97" s="312"/>
      <c r="D97" s="191" t="s">
        <v>566</v>
      </c>
    </row>
    <row r="98" spans="1:4" ht="29.6" thickBot="1" x14ac:dyDescent="0.45">
      <c r="A98" s="192">
        <v>97</v>
      </c>
      <c r="B98" s="192" t="s">
        <v>310</v>
      </c>
      <c r="C98" s="313"/>
      <c r="D98" s="172" t="s">
        <v>567</v>
      </c>
    </row>
    <row r="99" spans="1:4" ht="29.15" x14ac:dyDescent="0.4">
      <c r="A99" s="174">
        <v>98</v>
      </c>
      <c r="B99" s="174" t="s">
        <v>311</v>
      </c>
      <c r="C99" s="311" t="s">
        <v>568</v>
      </c>
      <c r="D99" s="175" t="s">
        <v>569</v>
      </c>
    </row>
    <row r="100" spans="1:4" ht="29.15" x14ac:dyDescent="0.4">
      <c r="A100" s="176">
        <v>99</v>
      </c>
      <c r="B100" s="176" t="s">
        <v>317</v>
      </c>
      <c r="C100" s="312"/>
      <c r="D100" s="168" t="s">
        <v>570</v>
      </c>
    </row>
    <row r="101" spans="1:4" x14ac:dyDescent="0.4">
      <c r="A101" s="176">
        <v>100</v>
      </c>
      <c r="B101" s="176" t="s">
        <v>482</v>
      </c>
      <c r="C101" s="312"/>
      <c r="D101" s="168" t="s">
        <v>571</v>
      </c>
    </row>
    <row r="102" spans="1:4" x14ac:dyDescent="0.4">
      <c r="A102" s="176">
        <v>101</v>
      </c>
      <c r="B102" s="176" t="s">
        <v>483</v>
      </c>
      <c r="C102" s="312"/>
      <c r="D102" s="168" t="s">
        <v>572</v>
      </c>
    </row>
    <row r="103" spans="1:4" x14ac:dyDescent="0.4">
      <c r="A103" s="176">
        <v>102</v>
      </c>
      <c r="B103" s="176" t="s">
        <v>484</v>
      </c>
      <c r="C103" s="312"/>
      <c r="D103" s="168" t="s">
        <v>573</v>
      </c>
    </row>
    <row r="104" spans="1:4" ht="29.15" x14ac:dyDescent="0.4">
      <c r="A104" s="176">
        <v>103</v>
      </c>
      <c r="B104" s="176" t="s">
        <v>647</v>
      </c>
      <c r="C104" s="312"/>
      <c r="D104" s="168" t="s">
        <v>648</v>
      </c>
    </row>
    <row r="105" spans="1:4" x14ac:dyDescent="0.4">
      <c r="A105" s="176">
        <v>104</v>
      </c>
      <c r="B105" s="176" t="s">
        <v>671</v>
      </c>
      <c r="C105" s="312"/>
      <c r="D105" s="168" t="s">
        <v>691</v>
      </c>
    </row>
    <row r="106" spans="1:4" x14ac:dyDescent="0.4">
      <c r="A106" s="176">
        <v>105</v>
      </c>
      <c r="B106" s="176" t="s">
        <v>672</v>
      </c>
      <c r="C106" s="312"/>
      <c r="D106" s="168" t="s">
        <v>692</v>
      </c>
    </row>
    <row r="107" spans="1:4" x14ac:dyDescent="0.4">
      <c r="A107" s="176">
        <v>106</v>
      </c>
      <c r="B107" s="176" t="s">
        <v>673</v>
      </c>
      <c r="C107" s="312"/>
      <c r="D107" s="168" t="s">
        <v>693</v>
      </c>
    </row>
    <row r="108" spans="1:4" ht="29.6" thickBot="1" x14ac:dyDescent="0.45">
      <c r="A108" s="176">
        <v>107</v>
      </c>
      <c r="B108" s="176" t="s">
        <v>687</v>
      </c>
      <c r="C108" s="313"/>
      <c r="D108" s="168" t="s">
        <v>694</v>
      </c>
    </row>
    <row r="109" spans="1:4" ht="29.15" x14ac:dyDescent="0.4">
      <c r="A109" s="194">
        <v>108</v>
      </c>
      <c r="B109" s="194" t="s">
        <v>448</v>
      </c>
      <c r="C109" s="311" t="s">
        <v>574</v>
      </c>
      <c r="D109" s="175" t="s">
        <v>733</v>
      </c>
    </row>
    <row r="110" spans="1:4" ht="29.15" x14ac:dyDescent="0.4">
      <c r="A110" s="196">
        <v>109</v>
      </c>
      <c r="B110" s="196" t="s">
        <v>736</v>
      </c>
      <c r="C110" s="312"/>
      <c r="D110" s="168" t="s">
        <v>735</v>
      </c>
    </row>
    <row r="111" spans="1:4" x14ac:dyDescent="0.4">
      <c r="A111" s="196">
        <v>110</v>
      </c>
      <c r="B111" s="196" t="s">
        <v>312</v>
      </c>
      <c r="C111" s="312"/>
      <c r="D111" s="168" t="s">
        <v>575</v>
      </c>
    </row>
    <row r="112" spans="1:4" x14ac:dyDescent="0.4">
      <c r="A112" s="196">
        <v>111</v>
      </c>
      <c r="B112" s="196" t="s">
        <v>313</v>
      </c>
      <c r="C112" s="312"/>
      <c r="D112" s="168" t="s">
        <v>576</v>
      </c>
    </row>
    <row r="113" spans="1:4" x14ac:dyDescent="0.4">
      <c r="A113" s="196">
        <v>112</v>
      </c>
      <c r="B113" s="196" t="s">
        <v>314</v>
      </c>
      <c r="C113" s="312"/>
      <c r="D113" s="168" t="s">
        <v>576</v>
      </c>
    </row>
    <row r="114" spans="1:4" x14ac:dyDescent="0.4">
      <c r="A114" s="196">
        <v>113</v>
      </c>
      <c r="B114" s="196" t="s">
        <v>315</v>
      </c>
      <c r="C114" s="312"/>
      <c r="D114" s="168" t="s">
        <v>577</v>
      </c>
    </row>
    <row r="115" spans="1:4" ht="15" thickBot="1" x14ac:dyDescent="0.45">
      <c r="A115" s="198">
        <v>114</v>
      </c>
      <c r="B115" s="198" t="s">
        <v>316</v>
      </c>
      <c r="C115" s="313"/>
      <c r="D115" s="172" t="s">
        <v>577</v>
      </c>
    </row>
    <row r="116" spans="1:4" ht="29.15" x14ac:dyDescent="0.4">
      <c r="A116" s="199">
        <v>115</v>
      </c>
      <c r="B116" s="199" t="s">
        <v>433</v>
      </c>
      <c r="C116" s="311" t="s">
        <v>578</v>
      </c>
      <c r="D116" s="175" t="s">
        <v>579</v>
      </c>
    </row>
    <row r="117" spans="1:4" x14ac:dyDescent="0.4">
      <c r="A117" s="200">
        <v>116</v>
      </c>
      <c r="B117" s="200" t="s">
        <v>434</v>
      </c>
      <c r="C117" s="312"/>
      <c r="D117" s="168" t="s">
        <v>11</v>
      </c>
    </row>
    <row r="118" spans="1:4" x14ac:dyDescent="0.4">
      <c r="A118" s="200">
        <v>117</v>
      </c>
      <c r="B118" s="200" t="s">
        <v>435</v>
      </c>
      <c r="C118" s="312"/>
      <c r="D118" s="168" t="s">
        <v>11</v>
      </c>
    </row>
    <row r="119" spans="1:4" x14ac:dyDescent="0.4">
      <c r="A119" s="200">
        <v>118</v>
      </c>
      <c r="B119" s="200" t="s">
        <v>683</v>
      </c>
      <c r="C119" s="312"/>
      <c r="D119" s="168" t="s">
        <v>11</v>
      </c>
    </row>
    <row r="120" spans="1:4" x14ac:dyDescent="0.4">
      <c r="A120" s="200">
        <v>119</v>
      </c>
      <c r="B120" s="200" t="s">
        <v>436</v>
      </c>
      <c r="C120" s="312"/>
      <c r="D120" s="168" t="s">
        <v>11</v>
      </c>
    </row>
    <row r="121" spans="1:4" x14ac:dyDescent="0.4">
      <c r="A121" s="200">
        <v>120</v>
      </c>
      <c r="B121" s="200" t="s">
        <v>437</v>
      </c>
      <c r="C121" s="312"/>
      <c r="D121" s="168" t="s">
        <v>556</v>
      </c>
    </row>
    <row r="122" spans="1:4" x14ac:dyDescent="0.4">
      <c r="A122" s="200">
        <v>121</v>
      </c>
      <c r="B122" s="200" t="s">
        <v>438</v>
      </c>
      <c r="C122" s="312"/>
      <c r="D122" s="168" t="s">
        <v>11</v>
      </c>
    </row>
    <row r="123" spans="1:4" x14ac:dyDescent="0.4">
      <c r="A123" s="200">
        <v>122</v>
      </c>
      <c r="B123" s="200" t="s">
        <v>439</v>
      </c>
      <c r="C123" s="312"/>
      <c r="D123" s="168" t="s">
        <v>11</v>
      </c>
    </row>
    <row r="124" spans="1:4" x14ac:dyDescent="0.4">
      <c r="A124" s="200">
        <v>123</v>
      </c>
      <c r="B124" s="200" t="s">
        <v>684</v>
      </c>
      <c r="C124" s="312"/>
      <c r="D124" s="168" t="s">
        <v>11</v>
      </c>
    </row>
    <row r="125" spans="1:4" x14ac:dyDescent="0.4">
      <c r="A125" s="200">
        <v>124</v>
      </c>
      <c r="B125" s="200" t="s">
        <v>500</v>
      </c>
      <c r="C125" s="312"/>
      <c r="D125" s="168" t="s">
        <v>11</v>
      </c>
    </row>
    <row r="126" spans="1:4" x14ac:dyDescent="0.4">
      <c r="A126" s="200">
        <v>125</v>
      </c>
      <c r="B126" s="200" t="s">
        <v>501</v>
      </c>
      <c r="C126" s="312"/>
      <c r="D126" s="168" t="s">
        <v>11</v>
      </c>
    </row>
    <row r="127" spans="1:4" x14ac:dyDescent="0.4">
      <c r="A127" s="200">
        <v>126</v>
      </c>
      <c r="B127" s="200" t="s">
        <v>502</v>
      </c>
      <c r="C127" s="312"/>
      <c r="D127" s="168" t="s">
        <v>11</v>
      </c>
    </row>
    <row r="128" spans="1:4" x14ac:dyDescent="0.4">
      <c r="A128" s="200">
        <v>127</v>
      </c>
      <c r="B128" s="200" t="s">
        <v>685</v>
      </c>
      <c r="C128" s="312"/>
      <c r="D128" s="168" t="s">
        <v>11</v>
      </c>
    </row>
    <row r="129" spans="1:4" x14ac:dyDescent="0.4">
      <c r="A129" s="200">
        <v>128</v>
      </c>
      <c r="B129" s="200" t="s">
        <v>503</v>
      </c>
      <c r="C129" s="312"/>
      <c r="D129" s="168" t="s">
        <v>11</v>
      </c>
    </row>
    <row r="130" spans="1:4" x14ac:dyDescent="0.4">
      <c r="A130" s="200">
        <v>129</v>
      </c>
      <c r="B130" s="200" t="s">
        <v>440</v>
      </c>
      <c r="C130" s="312"/>
      <c r="D130" s="168" t="s">
        <v>580</v>
      </c>
    </row>
    <row r="131" spans="1:4" x14ac:dyDescent="0.4">
      <c r="A131" s="200">
        <v>130</v>
      </c>
      <c r="B131" s="200" t="s">
        <v>441</v>
      </c>
      <c r="C131" s="312"/>
      <c r="D131" s="168" t="s">
        <v>581</v>
      </c>
    </row>
    <row r="132" spans="1:4" x14ac:dyDescent="0.4">
      <c r="A132" s="200">
        <v>131</v>
      </c>
      <c r="B132" s="200" t="s">
        <v>471</v>
      </c>
      <c r="C132" s="312"/>
      <c r="D132" s="168" t="s">
        <v>582</v>
      </c>
    </row>
    <row r="133" spans="1:4" x14ac:dyDescent="0.4">
      <c r="A133" s="200">
        <v>132</v>
      </c>
      <c r="B133" s="200" t="s">
        <v>472</v>
      </c>
      <c r="C133" s="312"/>
      <c r="D133" s="168" t="s">
        <v>583</v>
      </c>
    </row>
    <row r="134" spans="1:4" x14ac:dyDescent="0.4">
      <c r="A134" s="200">
        <v>133</v>
      </c>
      <c r="B134" s="200" t="s">
        <v>504</v>
      </c>
      <c r="C134" s="312"/>
      <c r="D134" s="168" t="s">
        <v>584</v>
      </c>
    </row>
    <row r="135" spans="1:4" x14ac:dyDescent="0.4">
      <c r="A135" s="200">
        <v>134</v>
      </c>
      <c r="B135" s="200" t="s">
        <v>507</v>
      </c>
      <c r="C135" s="312"/>
      <c r="D135" s="168" t="s">
        <v>585</v>
      </c>
    </row>
    <row r="136" spans="1:4" x14ac:dyDescent="0.4">
      <c r="A136" s="200">
        <v>135</v>
      </c>
      <c r="B136" s="200" t="s">
        <v>506</v>
      </c>
      <c r="C136" s="312"/>
      <c r="D136" s="168" t="s">
        <v>586</v>
      </c>
    </row>
    <row r="137" spans="1:4" x14ac:dyDescent="0.4">
      <c r="A137" s="200">
        <v>136</v>
      </c>
      <c r="B137" s="200" t="s">
        <v>318</v>
      </c>
      <c r="C137" s="312"/>
      <c r="D137" s="168" t="s">
        <v>587</v>
      </c>
    </row>
    <row r="138" spans="1:4" x14ac:dyDescent="0.4">
      <c r="A138" s="200">
        <v>137</v>
      </c>
      <c r="B138" s="200" t="s">
        <v>319</v>
      </c>
      <c r="C138" s="312"/>
      <c r="D138" s="168" t="s">
        <v>587</v>
      </c>
    </row>
    <row r="139" spans="1:4" ht="87.45" x14ac:dyDescent="0.4">
      <c r="A139" s="200">
        <v>138</v>
      </c>
      <c r="B139" s="200" t="s">
        <v>320</v>
      </c>
      <c r="C139" s="312"/>
      <c r="D139" s="168" t="s">
        <v>653</v>
      </c>
    </row>
    <row r="140" spans="1:4" x14ac:dyDescent="0.4">
      <c r="A140" s="200">
        <v>139</v>
      </c>
      <c r="B140" s="200" t="s">
        <v>321</v>
      </c>
      <c r="C140" s="312"/>
      <c r="D140" s="168" t="s">
        <v>588</v>
      </c>
    </row>
    <row r="141" spans="1:4" ht="87.45" x14ac:dyDescent="0.4">
      <c r="A141" s="200">
        <v>140</v>
      </c>
      <c r="B141" s="200" t="s">
        <v>442</v>
      </c>
      <c r="C141" s="312"/>
      <c r="D141" s="168" t="s">
        <v>654</v>
      </c>
    </row>
    <row r="142" spans="1:4" ht="29.15" x14ac:dyDescent="0.4">
      <c r="A142" s="200">
        <v>141</v>
      </c>
      <c r="B142" s="200" t="s">
        <v>443</v>
      </c>
      <c r="C142" s="312"/>
      <c r="D142" s="168" t="s">
        <v>650</v>
      </c>
    </row>
    <row r="143" spans="1:4" ht="29.15" x14ac:dyDescent="0.4">
      <c r="A143" s="200">
        <v>142</v>
      </c>
      <c r="B143" s="200" t="s">
        <v>322</v>
      </c>
      <c r="C143" s="312"/>
      <c r="D143" s="168" t="s">
        <v>589</v>
      </c>
    </row>
    <row r="144" spans="1:4" ht="29.15" x14ac:dyDescent="0.4">
      <c r="A144" s="200">
        <v>143</v>
      </c>
      <c r="B144" s="200" t="s">
        <v>474</v>
      </c>
      <c r="C144" s="312"/>
      <c r="D144" s="168" t="s">
        <v>590</v>
      </c>
    </row>
    <row r="145" spans="1:4" x14ac:dyDescent="0.4">
      <c r="A145" s="200">
        <v>144</v>
      </c>
      <c r="B145" s="200" t="s">
        <v>323</v>
      </c>
      <c r="C145" s="312"/>
      <c r="D145" s="168" t="s">
        <v>591</v>
      </c>
    </row>
    <row r="146" spans="1:4" x14ac:dyDescent="0.4">
      <c r="A146" s="200">
        <v>145</v>
      </c>
      <c r="B146" s="200" t="s">
        <v>324</v>
      </c>
      <c r="C146" s="312"/>
      <c r="D146" s="168" t="s">
        <v>592</v>
      </c>
    </row>
    <row r="147" spans="1:4" x14ac:dyDescent="0.4">
      <c r="A147" s="200">
        <v>146</v>
      </c>
      <c r="B147" s="200" t="s">
        <v>325</v>
      </c>
      <c r="C147" s="312"/>
      <c r="D147" s="168" t="s">
        <v>593</v>
      </c>
    </row>
    <row r="148" spans="1:4" x14ac:dyDescent="0.4">
      <c r="A148" s="200">
        <v>147</v>
      </c>
      <c r="B148" s="200" t="s">
        <v>326</v>
      </c>
      <c r="C148" s="312"/>
      <c r="D148" s="168" t="s">
        <v>594</v>
      </c>
    </row>
    <row r="149" spans="1:4" x14ac:dyDescent="0.4">
      <c r="A149" s="200">
        <v>148</v>
      </c>
      <c r="B149" s="200" t="s">
        <v>457</v>
      </c>
      <c r="C149" s="312"/>
      <c r="D149" s="168" t="s">
        <v>595</v>
      </c>
    </row>
    <row r="150" spans="1:4" x14ac:dyDescent="0.4">
      <c r="A150" s="200">
        <v>149</v>
      </c>
      <c r="B150" s="200" t="s">
        <v>458</v>
      </c>
      <c r="C150" s="312"/>
      <c r="D150" s="168" t="s">
        <v>596</v>
      </c>
    </row>
    <row r="151" spans="1:4" x14ac:dyDescent="0.4">
      <c r="A151" s="200">
        <v>150</v>
      </c>
      <c r="B151" s="200" t="s">
        <v>675</v>
      </c>
      <c r="C151" s="312"/>
      <c r="D151" s="168" t="s">
        <v>695</v>
      </c>
    </row>
    <row r="152" spans="1:4" x14ac:dyDescent="0.4">
      <c r="A152" s="200">
        <v>151</v>
      </c>
      <c r="B152" s="200" t="s">
        <v>676</v>
      </c>
      <c r="C152" s="312"/>
      <c r="D152" s="168" t="s">
        <v>11</v>
      </c>
    </row>
    <row r="153" spans="1:4" x14ac:dyDescent="0.4">
      <c r="A153" s="200">
        <v>152</v>
      </c>
      <c r="B153" s="200" t="s">
        <v>677</v>
      </c>
      <c r="C153" s="312"/>
      <c r="D153" s="168" t="s">
        <v>11</v>
      </c>
    </row>
    <row r="154" spans="1:4" x14ac:dyDescent="0.4">
      <c r="A154" s="200">
        <v>153</v>
      </c>
      <c r="B154" s="200" t="s">
        <v>678</v>
      </c>
      <c r="C154" s="312"/>
      <c r="D154" s="168" t="s">
        <v>11</v>
      </c>
    </row>
    <row r="155" spans="1:4" x14ac:dyDescent="0.4">
      <c r="A155" s="200">
        <v>154</v>
      </c>
      <c r="B155" s="200" t="s">
        <v>679</v>
      </c>
      <c r="C155" s="312"/>
      <c r="D155" s="168" t="s">
        <v>11</v>
      </c>
    </row>
    <row r="156" spans="1:4" x14ac:dyDescent="0.4">
      <c r="A156" s="200">
        <v>155</v>
      </c>
      <c r="B156" s="200" t="s">
        <v>680</v>
      </c>
      <c r="C156" s="312"/>
      <c r="D156" s="168" t="s">
        <v>11</v>
      </c>
    </row>
    <row r="157" spans="1:4" x14ac:dyDescent="0.4">
      <c r="A157" s="200">
        <v>156</v>
      </c>
      <c r="B157" s="200" t="s">
        <v>681</v>
      </c>
      <c r="C157" s="312"/>
      <c r="D157" s="168" t="s">
        <v>11</v>
      </c>
    </row>
    <row r="158" spans="1:4" x14ac:dyDescent="0.4">
      <c r="A158" s="200">
        <v>157</v>
      </c>
      <c r="B158" s="200" t="s">
        <v>682</v>
      </c>
      <c r="C158" s="312"/>
      <c r="D158" s="168" t="s">
        <v>11</v>
      </c>
    </row>
    <row r="159" spans="1:4" ht="29.15" x14ac:dyDescent="0.4">
      <c r="A159" s="200">
        <v>158</v>
      </c>
      <c r="B159" s="200" t="s">
        <v>663</v>
      </c>
      <c r="C159" s="312"/>
      <c r="D159" s="168" t="s">
        <v>696</v>
      </c>
    </row>
    <row r="160" spans="1:4" ht="29.15" x14ac:dyDescent="0.4">
      <c r="A160" s="200">
        <v>159</v>
      </c>
      <c r="B160" s="200" t="s">
        <v>670</v>
      </c>
      <c r="C160" s="312"/>
      <c r="D160" s="168" t="s">
        <v>697</v>
      </c>
    </row>
    <row r="161" spans="1:4" ht="29.15" x14ac:dyDescent="0.4">
      <c r="A161" s="200">
        <v>160</v>
      </c>
      <c r="B161" s="200" t="s">
        <v>668</v>
      </c>
      <c r="C161" s="312"/>
      <c r="D161" s="168" t="s">
        <v>698</v>
      </c>
    </row>
    <row r="162" spans="1:4" ht="15" thickBot="1" x14ac:dyDescent="0.45">
      <c r="A162" s="201">
        <v>161</v>
      </c>
      <c r="B162" s="201" t="s">
        <v>669</v>
      </c>
      <c r="C162" s="313"/>
      <c r="D162" s="245" t="s">
        <v>11</v>
      </c>
    </row>
    <row r="163" spans="1:4" ht="30" customHeight="1" x14ac:dyDescent="0.4">
      <c r="A163" s="203">
        <v>162</v>
      </c>
      <c r="B163" s="203" t="s">
        <v>327</v>
      </c>
      <c r="C163" s="311" t="s">
        <v>597</v>
      </c>
      <c r="D163" s="168" t="s">
        <v>598</v>
      </c>
    </row>
    <row r="164" spans="1:4" ht="29.15" x14ac:dyDescent="0.4">
      <c r="A164" s="203">
        <v>163</v>
      </c>
      <c r="B164" s="203" t="s">
        <v>328</v>
      </c>
      <c r="C164" s="312"/>
      <c r="D164" s="168" t="s">
        <v>599</v>
      </c>
    </row>
    <row r="165" spans="1:4" x14ac:dyDescent="0.4">
      <c r="A165" s="203">
        <v>164</v>
      </c>
      <c r="B165" s="203" t="s">
        <v>329</v>
      </c>
      <c r="C165" s="312"/>
      <c r="D165" s="168" t="s">
        <v>11</v>
      </c>
    </row>
    <row r="166" spans="1:4" x14ac:dyDescent="0.4">
      <c r="A166" s="203">
        <v>165</v>
      </c>
      <c r="B166" s="203" t="s">
        <v>330</v>
      </c>
      <c r="C166" s="312"/>
      <c r="D166" s="168" t="s">
        <v>11</v>
      </c>
    </row>
    <row r="167" spans="1:4" ht="29.15" x14ac:dyDescent="0.4">
      <c r="A167" s="203">
        <v>166</v>
      </c>
      <c r="B167" s="203" t="s">
        <v>444</v>
      </c>
      <c r="C167" s="312"/>
      <c r="D167" s="168" t="s">
        <v>600</v>
      </c>
    </row>
    <row r="168" spans="1:4" ht="29.15" x14ac:dyDescent="0.4">
      <c r="A168" s="203">
        <v>167</v>
      </c>
      <c r="B168" s="203" t="s">
        <v>445</v>
      </c>
      <c r="C168" s="312"/>
      <c r="D168" s="168" t="s">
        <v>601</v>
      </c>
    </row>
    <row r="169" spans="1:4" x14ac:dyDescent="0.4">
      <c r="A169" s="203">
        <v>168</v>
      </c>
      <c r="B169" s="203" t="s">
        <v>331</v>
      </c>
      <c r="C169" s="312"/>
      <c r="D169" s="168" t="s">
        <v>602</v>
      </c>
    </row>
    <row r="170" spans="1:4" x14ac:dyDescent="0.4">
      <c r="A170" s="203">
        <v>169</v>
      </c>
      <c r="B170" s="203" t="s">
        <v>332</v>
      </c>
      <c r="C170" s="312"/>
      <c r="D170" s="168" t="s">
        <v>11</v>
      </c>
    </row>
    <row r="171" spans="1:4" x14ac:dyDescent="0.4">
      <c r="A171" s="203">
        <v>170</v>
      </c>
      <c r="B171" s="203" t="s">
        <v>333</v>
      </c>
      <c r="C171" s="312"/>
      <c r="D171" s="168" t="s">
        <v>11</v>
      </c>
    </row>
    <row r="172" spans="1:4" x14ac:dyDescent="0.4">
      <c r="A172" s="203">
        <v>171</v>
      </c>
      <c r="B172" s="203" t="s">
        <v>334</v>
      </c>
      <c r="C172" s="312"/>
      <c r="D172" s="168" t="s">
        <v>11</v>
      </c>
    </row>
    <row r="173" spans="1:4" x14ac:dyDescent="0.4">
      <c r="A173" s="203">
        <v>172</v>
      </c>
      <c r="B173" s="203" t="s">
        <v>335</v>
      </c>
      <c r="C173" s="312"/>
      <c r="D173" s="168" t="s">
        <v>603</v>
      </c>
    </row>
    <row r="174" spans="1:4" x14ac:dyDescent="0.4">
      <c r="A174" s="203">
        <v>173</v>
      </c>
      <c r="B174" s="203" t="s">
        <v>336</v>
      </c>
      <c r="C174" s="312"/>
      <c r="D174" s="168" t="s">
        <v>604</v>
      </c>
    </row>
    <row r="175" spans="1:4" x14ac:dyDescent="0.4">
      <c r="A175" s="203">
        <v>174</v>
      </c>
      <c r="B175" s="203" t="s">
        <v>337</v>
      </c>
      <c r="C175" s="312"/>
      <c r="D175" s="168" t="s">
        <v>605</v>
      </c>
    </row>
    <row r="176" spans="1:4" ht="15" thickBot="1" x14ac:dyDescent="0.45">
      <c r="A176" s="204">
        <v>175</v>
      </c>
      <c r="B176" s="204" t="s">
        <v>338</v>
      </c>
      <c r="C176" s="313"/>
      <c r="D176" s="172" t="s">
        <v>606</v>
      </c>
    </row>
    <row r="177" spans="1:4" ht="15" thickBot="1" x14ac:dyDescent="0.45">
      <c r="A177" s="205">
        <v>176</v>
      </c>
      <c r="B177" s="205" t="s">
        <v>339</v>
      </c>
      <c r="C177" s="206" t="s">
        <v>607</v>
      </c>
      <c r="D177" s="226"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11" t="s">
        <v>554</v>
      </c>
      <c r="D2" s="151" t="s">
        <v>609</v>
      </c>
    </row>
    <row r="3" spans="1:4" x14ac:dyDescent="0.4">
      <c r="A3" s="184">
        <v>1002</v>
      </c>
      <c r="B3" s="185" t="s">
        <v>341</v>
      </c>
      <c r="C3" s="312"/>
      <c r="D3" s="153" t="s">
        <v>11</v>
      </c>
    </row>
    <row r="4" spans="1:4" x14ac:dyDescent="0.4">
      <c r="A4" s="184">
        <v>1003</v>
      </c>
      <c r="B4" s="185" t="s">
        <v>342</v>
      </c>
      <c r="C4" s="312"/>
      <c r="D4" s="153" t="s">
        <v>11</v>
      </c>
    </row>
    <row r="5" spans="1:4" x14ac:dyDescent="0.4">
      <c r="A5" s="184">
        <v>1004</v>
      </c>
      <c r="B5" s="185" t="s">
        <v>343</v>
      </c>
      <c r="C5" s="312"/>
      <c r="D5" s="153" t="s">
        <v>11</v>
      </c>
    </row>
    <row r="6" spans="1:4" x14ac:dyDescent="0.4">
      <c r="A6" s="184">
        <v>1005</v>
      </c>
      <c r="B6" s="185" t="s">
        <v>344</v>
      </c>
      <c r="C6" s="312"/>
      <c r="D6" s="153" t="s">
        <v>11</v>
      </c>
    </row>
    <row r="7" spans="1:4" x14ac:dyDescent="0.4">
      <c r="A7" s="184">
        <v>1006</v>
      </c>
      <c r="B7" s="185" t="s">
        <v>345</v>
      </c>
      <c r="C7" s="312"/>
      <c r="D7" s="153" t="s">
        <v>11</v>
      </c>
    </row>
    <row r="8" spans="1:4" x14ac:dyDescent="0.4">
      <c r="A8" s="184">
        <v>1007</v>
      </c>
      <c r="B8" s="185" t="s">
        <v>346</v>
      </c>
      <c r="C8" s="312"/>
      <c r="D8" s="153" t="s">
        <v>11</v>
      </c>
    </row>
    <row r="9" spans="1:4" x14ac:dyDescent="0.4">
      <c r="A9" s="184">
        <v>1008</v>
      </c>
      <c r="B9" s="185" t="s">
        <v>347</v>
      </c>
      <c r="C9" s="312"/>
      <c r="D9" s="153" t="s">
        <v>11</v>
      </c>
    </row>
    <row r="10" spans="1:4" x14ac:dyDescent="0.4">
      <c r="A10" s="184">
        <v>1009</v>
      </c>
      <c r="B10" s="185" t="s">
        <v>348</v>
      </c>
      <c r="C10" s="312"/>
      <c r="D10" s="153" t="s">
        <v>11</v>
      </c>
    </row>
    <row r="11" spans="1:4" x14ac:dyDescent="0.4">
      <c r="A11" s="184">
        <v>1010</v>
      </c>
      <c r="B11" s="185" t="s">
        <v>349</v>
      </c>
      <c r="C11" s="312"/>
      <c r="D11" s="153" t="s">
        <v>11</v>
      </c>
    </row>
    <row r="12" spans="1:4" x14ac:dyDescent="0.4">
      <c r="A12" s="184">
        <v>1011</v>
      </c>
      <c r="B12" s="185" t="s">
        <v>350</v>
      </c>
      <c r="C12" s="312"/>
      <c r="D12" s="153" t="s">
        <v>11</v>
      </c>
    </row>
    <row r="13" spans="1:4" x14ac:dyDescent="0.4">
      <c r="A13" s="184">
        <v>1012</v>
      </c>
      <c r="B13" s="185" t="s">
        <v>351</v>
      </c>
      <c r="C13" s="312"/>
      <c r="D13" s="153" t="s">
        <v>11</v>
      </c>
    </row>
    <row r="14" spans="1:4" x14ac:dyDescent="0.4">
      <c r="A14" s="184">
        <v>1013</v>
      </c>
      <c r="B14" s="185" t="s">
        <v>352</v>
      </c>
      <c r="C14" s="312"/>
      <c r="D14" s="153" t="s">
        <v>610</v>
      </c>
    </row>
    <row r="15" spans="1:4" x14ac:dyDescent="0.4">
      <c r="A15" s="184">
        <v>1014</v>
      </c>
      <c r="B15" s="185" t="s">
        <v>353</v>
      </c>
      <c r="C15" s="312"/>
      <c r="D15" s="153" t="s">
        <v>610</v>
      </c>
    </row>
    <row r="16" spans="1:4" ht="15" thickBot="1" x14ac:dyDescent="0.45">
      <c r="A16" s="188">
        <v>1015</v>
      </c>
      <c r="B16" s="207" t="s">
        <v>473</v>
      </c>
      <c r="C16" s="313"/>
      <c r="D16" s="156" t="s">
        <v>611</v>
      </c>
    </row>
    <row r="17" spans="1:4" x14ac:dyDescent="0.4">
      <c r="A17" s="193">
        <v>1016</v>
      </c>
      <c r="B17" s="208" t="s">
        <v>354</v>
      </c>
      <c r="C17" s="311" t="s">
        <v>612</v>
      </c>
      <c r="D17" s="151" t="s">
        <v>613</v>
      </c>
    </row>
    <row r="18" spans="1:4" x14ac:dyDescent="0.4">
      <c r="A18" s="195">
        <v>1017</v>
      </c>
      <c r="B18" s="209" t="s">
        <v>355</v>
      </c>
      <c r="C18" s="312"/>
      <c r="D18" s="153" t="s">
        <v>614</v>
      </c>
    </row>
    <row r="19" spans="1:4" x14ac:dyDescent="0.4">
      <c r="A19" s="195">
        <v>1018</v>
      </c>
      <c r="B19" s="209" t="s">
        <v>356</v>
      </c>
      <c r="C19" s="312"/>
      <c r="D19" s="153" t="s">
        <v>615</v>
      </c>
    </row>
    <row r="20" spans="1:4" x14ac:dyDescent="0.4">
      <c r="A20" s="195">
        <v>1019</v>
      </c>
      <c r="B20" s="209" t="s">
        <v>357</v>
      </c>
      <c r="C20" s="312"/>
      <c r="D20" s="153" t="s">
        <v>546</v>
      </c>
    </row>
    <row r="21" spans="1:4" x14ac:dyDescent="0.4">
      <c r="A21" s="195">
        <v>1020</v>
      </c>
      <c r="B21" s="209" t="s">
        <v>358</v>
      </c>
      <c r="C21" s="312"/>
      <c r="D21" s="153" t="s">
        <v>547</v>
      </c>
    </row>
    <row r="22" spans="1:4" x14ac:dyDescent="0.4">
      <c r="A22" s="195">
        <v>1021</v>
      </c>
      <c r="B22" s="209" t="s">
        <v>359</v>
      </c>
      <c r="C22" s="312"/>
      <c r="D22" s="153" t="s">
        <v>548</v>
      </c>
    </row>
    <row r="23" spans="1:4" x14ac:dyDescent="0.4">
      <c r="A23" s="195">
        <v>1022</v>
      </c>
      <c r="B23" s="209" t="s">
        <v>360</v>
      </c>
      <c r="C23" s="312"/>
      <c r="D23" s="153" t="s">
        <v>549</v>
      </c>
    </row>
    <row r="24" spans="1:4" x14ac:dyDescent="0.4">
      <c r="A24" s="195">
        <v>1023</v>
      </c>
      <c r="B24" s="209" t="s">
        <v>361</v>
      </c>
      <c r="C24" s="312"/>
      <c r="D24" s="153" t="s">
        <v>550</v>
      </c>
    </row>
    <row r="25" spans="1:4" ht="15" thickBot="1" x14ac:dyDescent="0.45">
      <c r="A25" s="197">
        <v>1024</v>
      </c>
      <c r="B25" s="210" t="s">
        <v>362</v>
      </c>
      <c r="C25" s="313"/>
      <c r="D25" s="156" t="s">
        <v>551</v>
      </c>
    </row>
    <row r="26" spans="1:4" x14ac:dyDescent="0.4">
      <c r="A26" s="163">
        <v>1025</v>
      </c>
      <c r="B26" s="164" t="s">
        <v>363</v>
      </c>
      <c r="C26" s="311" t="s">
        <v>616</v>
      </c>
      <c r="D26" s="151" t="s">
        <v>617</v>
      </c>
    </row>
    <row r="27" spans="1:4" x14ac:dyDescent="0.4">
      <c r="A27" s="165">
        <v>1026</v>
      </c>
      <c r="B27" s="167" t="s">
        <v>364</v>
      </c>
      <c r="C27" s="312"/>
      <c r="D27" s="153" t="s">
        <v>618</v>
      </c>
    </row>
    <row r="28" spans="1:4" x14ac:dyDescent="0.4">
      <c r="A28" s="165">
        <v>1027</v>
      </c>
      <c r="B28" s="167" t="s">
        <v>365</v>
      </c>
      <c r="C28" s="312"/>
      <c r="D28" s="153" t="s">
        <v>619</v>
      </c>
    </row>
    <row r="29" spans="1:4" x14ac:dyDescent="0.4">
      <c r="A29" s="165">
        <v>1028</v>
      </c>
      <c r="B29" s="167" t="s">
        <v>366</v>
      </c>
      <c r="C29" s="312"/>
      <c r="D29" s="153" t="s">
        <v>620</v>
      </c>
    </row>
    <row r="30" spans="1:4" x14ac:dyDescent="0.4">
      <c r="A30" s="165">
        <v>1029</v>
      </c>
      <c r="B30" s="167" t="s">
        <v>367</v>
      </c>
      <c r="C30" s="312"/>
      <c r="D30" s="153" t="s">
        <v>621</v>
      </c>
    </row>
    <row r="31" spans="1:4" x14ac:dyDescent="0.4">
      <c r="A31" s="165">
        <v>1030</v>
      </c>
      <c r="B31" s="167" t="s">
        <v>368</v>
      </c>
      <c r="C31" s="312"/>
      <c r="D31" s="153" t="s">
        <v>621</v>
      </c>
    </row>
    <row r="32" spans="1:4" x14ac:dyDescent="0.4">
      <c r="A32" s="165">
        <v>1031</v>
      </c>
      <c r="B32" s="167" t="s">
        <v>369</v>
      </c>
      <c r="C32" s="312"/>
      <c r="D32" s="153" t="s">
        <v>622</v>
      </c>
    </row>
    <row r="33" spans="1:4" x14ac:dyDescent="0.4">
      <c r="A33" s="165">
        <v>1032</v>
      </c>
      <c r="B33" s="167" t="s">
        <v>370</v>
      </c>
      <c r="C33" s="312"/>
      <c r="D33" s="153" t="s">
        <v>622</v>
      </c>
    </row>
    <row r="34" spans="1:4" x14ac:dyDescent="0.4">
      <c r="A34" s="165">
        <v>1033</v>
      </c>
      <c r="B34" s="167" t="s">
        <v>371</v>
      </c>
      <c r="C34" s="312"/>
      <c r="D34" s="153" t="s">
        <v>622</v>
      </c>
    </row>
    <row r="35" spans="1:4" x14ac:dyDescent="0.4">
      <c r="A35" s="165">
        <v>1034</v>
      </c>
      <c r="B35" s="167" t="s">
        <v>372</v>
      </c>
      <c r="C35" s="312"/>
      <c r="D35" s="153" t="s">
        <v>622</v>
      </c>
    </row>
    <row r="36" spans="1:4" ht="15" thickBot="1" x14ac:dyDescent="0.45">
      <c r="A36" s="169">
        <v>1035</v>
      </c>
      <c r="B36" s="211" t="s">
        <v>373</v>
      </c>
      <c r="C36" s="313"/>
      <c r="D36" s="153" t="s">
        <v>622</v>
      </c>
    </row>
    <row r="37" spans="1:4" ht="29.15" x14ac:dyDescent="0.4">
      <c r="A37" s="212">
        <v>1036</v>
      </c>
      <c r="B37" s="213" t="s">
        <v>475</v>
      </c>
      <c r="C37" s="311" t="s">
        <v>623</v>
      </c>
      <c r="D37" s="175" t="s">
        <v>600</v>
      </c>
    </row>
    <row r="38" spans="1:4" ht="29.15" x14ac:dyDescent="0.4">
      <c r="A38" s="214">
        <v>1037</v>
      </c>
      <c r="B38" s="202" t="s">
        <v>476</v>
      </c>
      <c r="C38" s="312"/>
      <c r="D38" s="168" t="s">
        <v>601</v>
      </c>
    </row>
    <row r="39" spans="1:4" x14ac:dyDescent="0.4">
      <c r="A39" s="214">
        <v>1038</v>
      </c>
      <c r="B39" s="202" t="s">
        <v>477</v>
      </c>
      <c r="C39" s="312"/>
      <c r="D39" s="168" t="s">
        <v>624</v>
      </c>
    </row>
    <row r="40" spans="1:4" ht="15" thickBot="1" x14ac:dyDescent="0.45">
      <c r="A40" s="215">
        <v>1039</v>
      </c>
      <c r="B40" s="216" t="s">
        <v>478</v>
      </c>
      <c r="C40" s="313"/>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11" t="s">
        <v>508</v>
      </c>
      <c r="D2" s="175" t="s">
        <v>510</v>
      </c>
    </row>
    <row r="3" spans="1:4" x14ac:dyDescent="0.4">
      <c r="A3" s="219">
        <v>2002</v>
      </c>
      <c r="B3" s="220" t="s">
        <v>375</v>
      </c>
      <c r="C3" s="312"/>
      <c r="D3" s="168" t="s">
        <v>11</v>
      </c>
    </row>
    <row r="4" spans="1:4" x14ac:dyDescent="0.4">
      <c r="A4" s="219">
        <v>2003</v>
      </c>
      <c r="B4" s="220" t="s">
        <v>376</v>
      </c>
      <c r="C4" s="312"/>
      <c r="D4" s="168" t="s">
        <v>11</v>
      </c>
    </row>
    <row r="5" spans="1:4" x14ac:dyDescent="0.4">
      <c r="A5" s="219">
        <v>2004</v>
      </c>
      <c r="B5" s="220" t="s">
        <v>377</v>
      </c>
      <c r="C5" s="312"/>
      <c r="D5" s="168" t="s">
        <v>11</v>
      </c>
    </row>
    <row r="6" spans="1:4" x14ac:dyDescent="0.4">
      <c r="A6" s="219">
        <v>2005</v>
      </c>
      <c r="B6" s="220" t="s">
        <v>378</v>
      </c>
      <c r="C6" s="312"/>
      <c r="D6" s="168" t="s">
        <v>11</v>
      </c>
    </row>
    <row r="7" spans="1:4" ht="15" thickBot="1" x14ac:dyDescent="0.45">
      <c r="A7" s="221">
        <v>2006</v>
      </c>
      <c r="B7" s="222" t="s">
        <v>379</v>
      </c>
      <c r="C7" s="313"/>
      <c r="D7" s="172" t="s">
        <v>11</v>
      </c>
    </row>
    <row r="8" spans="1:4" ht="15" thickBot="1" x14ac:dyDescent="0.45">
      <c r="A8" s="223">
        <v>2007</v>
      </c>
      <c r="B8" s="224" t="s">
        <v>380</v>
      </c>
      <c r="C8" s="225" t="s">
        <v>626</v>
      </c>
      <c r="D8" s="226" t="s">
        <v>627</v>
      </c>
    </row>
    <row r="9" spans="1:4" x14ac:dyDescent="0.4">
      <c r="A9" s="163">
        <v>2008</v>
      </c>
      <c r="B9" s="164" t="s">
        <v>381</v>
      </c>
      <c r="C9" s="314" t="s">
        <v>628</v>
      </c>
      <c r="D9" s="175" t="s">
        <v>629</v>
      </c>
    </row>
    <row r="10" spans="1:4" ht="15" thickBot="1" x14ac:dyDescent="0.45">
      <c r="A10" s="169">
        <v>2009</v>
      </c>
      <c r="B10" s="211" t="s">
        <v>382</v>
      </c>
      <c r="C10" s="315"/>
      <c r="D10" s="172" t="s">
        <v>630</v>
      </c>
    </row>
    <row r="11" spans="1:4" x14ac:dyDescent="0.4">
      <c r="A11" s="193">
        <v>2010</v>
      </c>
      <c r="B11" s="208" t="s">
        <v>383</v>
      </c>
      <c r="C11" s="311" t="s">
        <v>631</v>
      </c>
      <c r="D11" s="175" t="s">
        <v>632</v>
      </c>
    </row>
    <row r="12" spans="1:4" x14ac:dyDescent="0.4">
      <c r="A12" s="195">
        <v>2011</v>
      </c>
      <c r="B12" s="209" t="s">
        <v>384</v>
      </c>
      <c r="C12" s="312"/>
      <c r="D12" s="168" t="s">
        <v>633</v>
      </c>
    </row>
    <row r="13" spans="1:4" ht="15" thickBot="1" x14ac:dyDescent="0.45">
      <c r="A13" s="197">
        <v>2012</v>
      </c>
      <c r="B13" s="210" t="s">
        <v>385</v>
      </c>
      <c r="C13" s="313"/>
      <c r="D13" s="172" t="s">
        <v>634</v>
      </c>
    </row>
    <row r="14" spans="1:4" x14ac:dyDescent="0.4">
      <c r="A14" s="182">
        <v>2013</v>
      </c>
      <c r="B14" s="183" t="s">
        <v>386</v>
      </c>
      <c r="C14" s="314" t="s">
        <v>554</v>
      </c>
      <c r="D14" s="175" t="s">
        <v>635</v>
      </c>
    </row>
    <row r="15" spans="1:4" x14ac:dyDescent="0.4">
      <c r="A15" s="184">
        <v>2014</v>
      </c>
      <c r="B15" s="185" t="s">
        <v>387</v>
      </c>
      <c r="C15" s="316"/>
      <c r="D15" s="168" t="s">
        <v>11</v>
      </c>
    </row>
    <row r="16" spans="1:4" x14ac:dyDescent="0.4">
      <c r="A16" s="184">
        <v>2015</v>
      </c>
      <c r="B16" s="185" t="s">
        <v>388</v>
      </c>
      <c r="C16" s="316"/>
      <c r="D16" s="168" t="s">
        <v>11</v>
      </c>
    </row>
    <row r="17" spans="1:4" x14ac:dyDescent="0.4">
      <c r="A17" s="184">
        <v>2016</v>
      </c>
      <c r="B17" s="185" t="s">
        <v>389</v>
      </c>
      <c r="C17" s="316"/>
      <c r="D17" s="168" t="s">
        <v>11</v>
      </c>
    </row>
    <row r="18" spans="1:4" x14ac:dyDescent="0.4">
      <c r="A18" s="184">
        <v>2017</v>
      </c>
      <c r="B18" s="185" t="s">
        <v>390</v>
      </c>
      <c r="C18" s="316"/>
      <c r="D18" s="168" t="s">
        <v>11</v>
      </c>
    </row>
    <row r="19" spans="1:4" x14ac:dyDescent="0.4">
      <c r="A19" s="184">
        <v>2018</v>
      </c>
      <c r="B19" s="185" t="s">
        <v>391</v>
      </c>
      <c r="C19" s="316"/>
      <c r="D19" s="168" t="s">
        <v>11</v>
      </c>
    </row>
    <row r="20" spans="1:4" x14ac:dyDescent="0.4">
      <c r="A20" s="184">
        <v>2019</v>
      </c>
      <c r="B20" s="185" t="s">
        <v>392</v>
      </c>
      <c r="C20" s="316"/>
      <c r="D20" s="168" t="s">
        <v>11</v>
      </c>
    </row>
    <row r="21" spans="1:4" x14ac:dyDescent="0.4">
      <c r="A21" s="184">
        <v>2020</v>
      </c>
      <c r="B21" s="185" t="s">
        <v>393</v>
      </c>
      <c r="C21" s="316"/>
      <c r="D21" s="168" t="s">
        <v>11</v>
      </c>
    </row>
    <row r="22" spans="1:4" x14ac:dyDescent="0.4">
      <c r="A22" s="184">
        <v>2021</v>
      </c>
      <c r="B22" s="185" t="s">
        <v>394</v>
      </c>
      <c r="C22" s="316"/>
      <c r="D22" s="168" t="s">
        <v>11</v>
      </c>
    </row>
    <row r="23" spans="1:4" x14ac:dyDescent="0.4">
      <c r="A23" s="184">
        <v>2022</v>
      </c>
      <c r="B23" s="185" t="s">
        <v>395</v>
      </c>
      <c r="C23" s="316"/>
      <c r="D23" s="168" t="s">
        <v>11</v>
      </c>
    </row>
    <row r="24" spans="1:4" x14ac:dyDescent="0.4">
      <c r="A24" s="184">
        <v>2023</v>
      </c>
      <c r="B24" s="185" t="s">
        <v>396</v>
      </c>
      <c r="C24" s="316"/>
      <c r="D24" s="168" t="s">
        <v>11</v>
      </c>
    </row>
    <row r="25" spans="1:4" x14ac:dyDescent="0.4">
      <c r="A25" s="184">
        <v>2024</v>
      </c>
      <c r="B25" s="185" t="s">
        <v>397</v>
      </c>
      <c r="C25" s="316"/>
      <c r="D25" s="168" t="s">
        <v>11</v>
      </c>
    </row>
    <row r="26" spans="1:4" x14ac:dyDescent="0.4">
      <c r="A26" s="184">
        <v>2025</v>
      </c>
      <c r="B26" s="185" t="s">
        <v>398</v>
      </c>
      <c r="C26" s="316"/>
      <c r="D26" s="168" t="s">
        <v>557</v>
      </c>
    </row>
    <row r="27" spans="1:4" x14ac:dyDescent="0.4">
      <c r="A27" s="184">
        <v>2026</v>
      </c>
      <c r="B27" s="185" t="s">
        <v>399</v>
      </c>
      <c r="C27" s="316"/>
      <c r="D27" s="168" t="s">
        <v>558</v>
      </c>
    </row>
    <row r="28" spans="1:4" x14ac:dyDescent="0.4">
      <c r="A28" s="184">
        <v>2027</v>
      </c>
      <c r="B28" s="185" t="s">
        <v>400</v>
      </c>
      <c r="C28" s="316"/>
      <c r="D28" s="168" t="s">
        <v>559</v>
      </c>
    </row>
    <row r="29" spans="1:4" x14ac:dyDescent="0.4">
      <c r="A29" s="184">
        <v>2028</v>
      </c>
      <c r="B29" s="185" t="s">
        <v>401</v>
      </c>
      <c r="C29" s="316"/>
      <c r="D29" s="168" t="s">
        <v>560</v>
      </c>
    </row>
    <row r="30" spans="1:4" x14ac:dyDescent="0.4">
      <c r="A30" s="184">
        <v>2029</v>
      </c>
      <c r="B30" s="185" t="s">
        <v>402</v>
      </c>
      <c r="C30" s="316"/>
      <c r="D30" s="173" t="s">
        <v>636</v>
      </c>
    </row>
    <row r="31" spans="1:4" x14ac:dyDescent="0.4">
      <c r="A31" s="184">
        <v>2030</v>
      </c>
      <c r="B31" s="185" t="s">
        <v>403</v>
      </c>
      <c r="C31" s="316"/>
      <c r="D31" s="173" t="s">
        <v>636</v>
      </c>
    </row>
    <row r="32" spans="1:4" x14ac:dyDescent="0.4">
      <c r="A32" s="184">
        <v>2031</v>
      </c>
      <c r="B32" s="185" t="s">
        <v>404</v>
      </c>
      <c r="C32" s="316"/>
      <c r="D32" s="168" t="s">
        <v>587</v>
      </c>
    </row>
    <row r="33" spans="1:4" x14ac:dyDescent="0.4">
      <c r="A33" s="184">
        <v>2032</v>
      </c>
      <c r="B33" s="185" t="s">
        <v>405</v>
      </c>
      <c r="C33" s="316"/>
      <c r="D33" s="168" t="s">
        <v>587</v>
      </c>
    </row>
    <row r="34" spans="1:4" x14ac:dyDescent="0.4">
      <c r="A34" s="184">
        <v>2033</v>
      </c>
      <c r="B34" s="185" t="s">
        <v>406</v>
      </c>
      <c r="C34" s="316"/>
      <c r="D34" s="168" t="s">
        <v>561</v>
      </c>
    </row>
    <row r="35" spans="1:4" x14ac:dyDescent="0.4">
      <c r="A35" s="184">
        <v>2034</v>
      </c>
      <c r="B35" s="185" t="s">
        <v>407</v>
      </c>
      <c r="C35" s="316"/>
      <c r="D35" s="168" t="s">
        <v>562</v>
      </c>
    </row>
    <row r="36" spans="1:4" x14ac:dyDescent="0.4">
      <c r="A36" s="184">
        <v>2035</v>
      </c>
      <c r="B36" s="185" t="s">
        <v>408</v>
      </c>
      <c r="C36" s="316"/>
      <c r="D36" s="168" t="s">
        <v>637</v>
      </c>
    </row>
    <row r="37" spans="1:4" ht="15" thickBot="1" x14ac:dyDescent="0.45">
      <c r="A37" s="188">
        <v>2036</v>
      </c>
      <c r="B37" s="207" t="s">
        <v>481</v>
      </c>
      <c r="C37" s="315"/>
      <c r="D37" s="168" t="s">
        <v>638</v>
      </c>
    </row>
    <row r="38" spans="1:4" ht="15" customHeight="1" x14ac:dyDescent="0.4">
      <c r="A38" s="193">
        <v>2037</v>
      </c>
      <c r="B38" s="208" t="s">
        <v>409</v>
      </c>
      <c r="C38" s="311" t="s">
        <v>631</v>
      </c>
      <c r="D38" s="175" t="s">
        <v>546</v>
      </c>
    </row>
    <row r="39" spans="1:4" x14ac:dyDescent="0.4">
      <c r="A39" s="195">
        <v>2038</v>
      </c>
      <c r="B39" s="209" t="s">
        <v>410</v>
      </c>
      <c r="C39" s="312"/>
      <c r="D39" s="168" t="s">
        <v>547</v>
      </c>
    </row>
    <row r="40" spans="1:4" x14ac:dyDescent="0.4">
      <c r="A40" s="195">
        <v>2039</v>
      </c>
      <c r="B40" s="209" t="s">
        <v>411</v>
      </c>
      <c r="C40" s="312"/>
      <c r="D40" s="168" t="s">
        <v>550</v>
      </c>
    </row>
    <row r="41" spans="1:4" ht="15" thickBot="1" x14ac:dyDescent="0.45">
      <c r="A41" s="197">
        <v>2040</v>
      </c>
      <c r="B41" s="210" t="s">
        <v>412</v>
      </c>
      <c r="C41" s="313"/>
      <c r="D41" s="172" t="s">
        <v>551</v>
      </c>
    </row>
    <row r="42" spans="1:4" ht="29.15" x14ac:dyDescent="0.4">
      <c r="A42" s="212">
        <v>2041</v>
      </c>
      <c r="B42" s="213" t="s">
        <v>455</v>
      </c>
      <c r="C42" s="311" t="s">
        <v>639</v>
      </c>
      <c r="D42" s="175" t="s">
        <v>640</v>
      </c>
    </row>
    <row r="43" spans="1:4" ht="29.15" x14ac:dyDescent="0.4">
      <c r="A43" s="214">
        <v>2042</v>
      </c>
      <c r="B43" s="202" t="s">
        <v>456</v>
      </c>
      <c r="C43" s="312"/>
      <c r="D43" s="168" t="s">
        <v>641</v>
      </c>
    </row>
    <row r="44" spans="1:4" ht="15" customHeight="1" x14ac:dyDescent="0.4">
      <c r="A44" s="214">
        <v>2043</v>
      </c>
      <c r="B44" s="202" t="s">
        <v>413</v>
      </c>
      <c r="C44" s="312"/>
      <c r="D44" s="168" t="s">
        <v>642</v>
      </c>
    </row>
    <row r="45" spans="1:4" x14ac:dyDescent="0.4">
      <c r="A45" s="214">
        <v>2044</v>
      </c>
      <c r="B45" s="202" t="s">
        <v>414</v>
      </c>
      <c r="C45" s="312"/>
      <c r="D45" s="168" t="s">
        <v>11</v>
      </c>
    </row>
    <row r="46" spans="1:4" x14ac:dyDescent="0.4">
      <c r="A46" s="214">
        <v>2045</v>
      </c>
      <c r="B46" s="202" t="s">
        <v>415</v>
      </c>
      <c r="C46" s="312"/>
      <c r="D46" s="168" t="s">
        <v>11</v>
      </c>
    </row>
    <row r="47" spans="1:4" x14ac:dyDescent="0.4">
      <c r="A47" s="214">
        <v>2046</v>
      </c>
      <c r="B47" s="202" t="s">
        <v>416</v>
      </c>
      <c r="C47" s="312"/>
      <c r="D47" s="168" t="s">
        <v>11</v>
      </c>
    </row>
    <row r="48" spans="1:4" ht="29.15" x14ac:dyDescent="0.4">
      <c r="A48" s="214">
        <v>2047</v>
      </c>
      <c r="B48" s="202" t="s">
        <v>446</v>
      </c>
      <c r="C48" s="312"/>
      <c r="D48" s="168" t="s">
        <v>600</v>
      </c>
    </row>
    <row r="49" spans="1:4" ht="29.15" x14ac:dyDescent="0.4">
      <c r="A49" s="214">
        <v>2048</v>
      </c>
      <c r="B49" s="202" t="s">
        <v>447</v>
      </c>
      <c r="C49" s="312"/>
      <c r="D49" s="168" t="s">
        <v>601</v>
      </c>
    </row>
    <row r="50" spans="1:4" x14ac:dyDescent="0.4">
      <c r="A50" s="214">
        <v>2049</v>
      </c>
      <c r="B50" s="202" t="s">
        <v>479</v>
      </c>
      <c r="C50" s="312"/>
      <c r="D50" s="168" t="s">
        <v>624</v>
      </c>
    </row>
    <row r="51" spans="1:4" x14ac:dyDescent="0.4">
      <c r="A51" s="214">
        <v>2050</v>
      </c>
      <c r="B51" s="202" t="s">
        <v>480</v>
      </c>
      <c r="C51" s="312"/>
      <c r="D51" s="168" t="s">
        <v>625</v>
      </c>
    </row>
    <row r="52" spans="1:4" x14ac:dyDescent="0.4">
      <c r="A52" s="214">
        <v>2051</v>
      </c>
      <c r="B52" s="202" t="s">
        <v>454</v>
      </c>
      <c r="C52" s="312"/>
      <c r="D52" s="168" t="s">
        <v>602</v>
      </c>
    </row>
    <row r="53" spans="1:4" x14ac:dyDescent="0.4">
      <c r="A53" s="214">
        <v>2052</v>
      </c>
      <c r="B53" s="202" t="s">
        <v>450</v>
      </c>
      <c r="C53" s="312"/>
      <c r="D53" s="168" t="s">
        <v>11</v>
      </c>
    </row>
    <row r="54" spans="1:4" x14ac:dyDescent="0.4">
      <c r="A54" s="214">
        <v>2053</v>
      </c>
      <c r="B54" s="202" t="s">
        <v>451</v>
      </c>
      <c r="C54" s="312"/>
      <c r="D54" s="168" t="s">
        <v>11</v>
      </c>
    </row>
    <row r="55" spans="1:4" x14ac:dyDescent="0.4">
      <c r="A55" s="214">
        <v>2054</v>
      </c>
      <c r="B55" s="202" t="s">
        <v>453</v>
      </c>
      <c r="C55" s="312"/>
      <c r="D55" s="168" t="s">
        <v>11</v>
      </c>
    </row>
    <row r="56" spans="1:4" x14ac:dyDescent="0.4">
      <c r="A56" s="214">
        <v>2055</v>
      </c>
      <c r="B56" s="202" t="s">
        <v>452</v>
      </c>
      <c r="C56" s="312"/>
      <c r="D56" s="168" t="s">
        <v>11</v>
      </c>
    </row>
    <row r="57" spans="1:4" x14ac:dyDescent="0.4">
      <c r="A57" s="214">
        <v>2056</v>
      </c>
      <c r="B57" s="202" t="s">
        <v>417</v>
      </c>
      <c r="C57" s="312"/>
      <c r="D57" s="168" t="s">
        <v>603</v>
      </c>
    </row>
    <row r="58" spans="1:4" x14ac:dyDescent="0.4">
      <c r="A58" s="214">
        <v>2057</v>
      </c>
      <c r="B58" s="202" t="s">
        <v>418</v>
      </c>
      <c r="C58" s="312"/>
      <c r="D58" s="168" t="s">
        <v>604</v>
      </c>
    </row>
    <row r="59" spans="1:4" x14ac:dyDescent="0.4">
      <c r="A59" s="214">
        <v>2058</v>
      </c>
      <c r="B59" s="202" t="s">
        <v>419</v>
      </c>
      <c r="C59" s="312"/>
      <c r="D59" s="168" t="s">
        <v>605</v>
      </c>
    </row>
    <row r="60" spans="1:4" ht="15" thickBot="1" x14ac:dyDescent="0.45">
      <c r="A60" s="215">
        <v>2059</v>
      </c>
      <c r="B60" s="216" t="s">
        <v>420</v>
      </c>
      <c r="C60" s="313"/>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11" t="s">
        <v>701</v>
      </c>
      <c r="D3" s="244" t="s">
        <v>11</v>
      </c>
    </row>
    <row r="4" spans="1:4" x14ac:dyDescent="0.4">
      <c r="A4" s="258">
        <v>3003</v>
      </c>
      <c r="B4" s="259" t="str">
        <f>'Custom cases'!D5</f>
        <v>Custom_RfG_Fault_3_FRTtrig_0.86pu</v>
      </c>
      <c r="C4" s="312"/>
      <c r="D4" s="244" t="s">
        <v>11</v>
      </c>
    </row>
    <row r="5" spans="1:4" ht="43.75" x14ac:dyDescent="0.4">
      <c r="A5" s="258">
        <v>3004</v>
      </c>
      <c r="B5" s="259" t="str">
        <f>'Custom cases'!D6</f>
        <v>Custom_RfG_Fault_3_FRTtrig_0.85pu</v>
      </c>
      <c r="C5" s="312"/>
      <c r="D5" s="168" t="s">
        <v>703</v>
      </c>
    </row>
    <row r="6" spans="1:4" x14ac:dyDescent="0.4">
      <c r="A6" s="258">
        <v>3005</v>
      </c>
      <c r="B6" s="259" t="str">
        <f>'Custom cases'!D7</f>
        <v>Custom_RfG_Fault_3_FRTtrig_0.84pu</v>
      </c>
      <c r="C6" s="312"/>
      <c r="D6" s="244" t="s">
        <v>11</v>
      </c>
    </row>
    <row r="7" spans="1:4" x14ac:dyDescent="0.4">
      <c r="A7" s="258">
        <v>3006</v>
      </c>
      <c r="B7" s="259" t="str">
        <f>'Custom cases'!D8</f>
        <v>Custom_RfG_Fault_3_FRTtrig_0.83pu</v>
      </c>
      <c r="C7" s="312"/>
      <c r="D7" s="244" t="s">
        <v>11</v>
      </c>
    </row>
    <row r="8" spans="1:4" x14ac:dyDescent="0.4">
      <c r="A8" s="258">
        <v>3007</v>
      </c>
      <c r="B8" s="259" t="str">
        <f>'Custom cases'!D9</f>
        <v>Custom_RfG_Fault_3_FRTtrig_0.82pu</v>
      </c>
      <c r="C8" s="312"/>
      <c r="D8" s="244" t="s">
        <v>11</v>
      </c>
    </row>
    <row r="9" spans="1:4" x14ac:dyDescent="0.4">
      <c r="A9" s="258">
        <v>3008</v>
      </c>
      <c r="B9" s="259" t="str">
        <f>'Custom cases'!D10</f>
        <v>Custom_RfG_Fault_3_FRTtrig_0.81pu</v>
      </c>
      <c r="C9" s="312"/>
      <c r="D9" s="244" t="s">
        <v>11</v>
      </c>
    </row>
    <row r="10" spans="1:4" x14ac:dyDescent="0.4">
      <c r="A10" s="258">
        <v>3009</v>
      </c>
      <c r="B10" s="259" t="str">
        <f>'Custom cases'!D11</f>
        <v>Custom_RfG_Fault_3_FRTtrig_0.80pu</v>
      </c>
      <c r="C10" s="312"/>
      <c r="D10" s="244" t="s">
        <v>11</v>
      </c>
    </row>
    <row r="11" spans="1:4" x14ac:dyDescent="0.4">
      <c r="A11" s="258">
        <v>3010</v>
      </c>
      <c r="B11" s="259" t="str">
        <f>'Custom cases'!D12</f>
        <v>Custom_RfG_Fault_3_FRTtrig_0.79pu</v>
      </c>
      <c r="C11" s="312"/>
      <c r="D11" s="244" t="s">
        <v>11</v>
      </c>
    </row>
    <row r="12" spans="1:4" ht="15" thickBot="1" x14ac:dyDescent="0.45">
      <c r="A12" s="260">
        <v>3011</v>
      </c>
      <c r="B12" s="261" t="str">
        <f>'Custom cases'!D13</f>
        <v>Custom_RfG_Fault_3_FRTtrig_0.78pu</v>
      </c>
      <c r="C12" s="313"/>
      <c r="D12" s="245" t="s">
        <v>11</v>
      </c>
    </row>
    <row r="13" spans="1:4" x14ac:dyDescent="0.4">
      <c r="A13" s="230">
        <v>3012</v>
      </c>
      <c r="B13" s="250" t="str">
        <f>'Custom cases'!D14</f>
        <v>Custom_RfG_LVRT_FRTexit_0.84pu</v>
      </c>
      <c r="C13" s="311" t="s">
        <v>700</v>
      </c>
      <c r="D13" s="244" t="s">
        <v>11</v>
      </c>
    </row>
    <row r="14" spans="1:4" ht="29.15" x14ac:dyDescent="0.4">
      <c r="A14" s="230">
        <v>3013</v>
      </c>
      <c r="B14" s="250" t="str">
        <f>'Custom cases'!D15</f>
        <v>Custom_RfG_LVRT_FRTexit_0.85pu</v>
      </c>
      <c r="C14" s="312"/>
      <c r="D14" s="168" t="s">
        <v>702</v>
      </c>
    </row>
    <row r="15" spans="1:4" x14ac:dyDescent="0.4">
      <c r="A15" s="230">
        <v>3014</v>
      </c>
      <c r="B15" s="250" t="str">
        <f>'Custom cases'!D16</f>
        <v>Custom_RfG_LVRT_FRTexit_0.86pu</v>
      </c>
      <c r="C15" s="312"/>
      <c r="D15" s="244" t="s">
        <v>11</v>
      </c>
    </row>
    <row r="16" spans="1:4" x14ac:dyDescent="0.4">
      <c r="A16" s="230">
        <v>3015</v>
      </c>
      <c r="B16" s="250" t="str">
        <f>'Custom cases'!D17</f>
        <v>Custom_RfG_LVRT_FRTexit_0.87pu</v>
      </c>
      <c r="C16" s="312"/>
      <c r="D16" s="244" t="s">
        <v>11</v>
      </c>
    </row>
    <row r="17" spans="1:4" x14ac:dyDescent="0.4">
      <c r="A17" s="230">
        <v>3016</v>
      </c>
      <c r="B17" s="250" t="str">
        <f>'Custom cases'!D18</f>
        <v>Custom_RfG_LVRT_FRTexit_0.88pu</v>
      </c>
      <c r="C17" s="312"/>
      <c r="D17" s="244" t="s">
        <v>11</v>
      </c>
    </row>
    <row r="18" spans="1:4" ht="15" thickBot="1" x14ac:dyDescent="0.45">
      <c r="A18" s="240">
        <v>3017</v>
      </c>
      <c r="B18" s="251" t="str">
        <f>'Custom cases'!D19</f>
        <v>Custom_RfG_LVRT_FRTexit_0.89pu</v>
      </c>
      <c r="C18" s="313"/>
      <c r="D18" s="245" t="s">
        <v>11</v>
      </c>
    </row>
    <row r="19" spans="1:4" x14ac:dyDescent="0.4">
      <c r="A19" s="252">
        <v>3018</v>
      </c>
      <c r="B19" s="253" t="str">
        <f>'Custom cases'!D20</f>
        <v>Custom_RfG_Fault_3_MaxIQ_0.24pu</v>
      </c>
      <c r="C19" s="311" t="s">
        <v>729</v>
      </c>
      <c r="D19" s="244" t="s">
        <v>11</v>
      </c>
    </row>
    <row r="20" spans="1:4" x14ac:dyDescent="0.4">
      <c r="A20" s="252">
        <v>3019</v>
      </c>
      <c r="B20" s="253" t="str">
        <f>'Custom cases'!D21</f>
        <v>Custom_RfG_Fault_3_MaxIQ_0.23pu</v>
      </c>
      <c r="C20" s="312"/>
      <c r="D20" s="244" t="s">
        <v>11</v>
      </c>
    </row>
    <row r="21" spans="1:4" x14ac:dyDescent="0.4">
      <c r="A21" s="252">
        <v>3020</v>
      </c>
      <c r="B21" s="253" t="str">
        <f>'Custom cases'!D22</f>
        <v>Custom_RfG_Fault_3_MaxIQ_0.22pu</v>
      </c>
      <c r="C21" s="312"/>
      <c r="D21" s="244" t="s">
        <v>11</v>
      </c>
    </row>
    <row r="22" spans="1:4" x14ac:dyDescent="0.4">
      <c r="A22" s="252">
        <v>3021</v>
      </c>
      <c r="B22" s="253" t="str">
        <f>'Custom cases'!D23</f>
        <v>Custom_RfG_Fault_3_MaxIQ_0.21pu</v>
      </c>
      <c r="C22" s="312"/>
      <c r="D22" s="244" t="s">
        <v>11</v>
      </c>
    </row>
    <row r="23" spans="1:4" ht="58.3" x14ac:dyDescent="0.4">
      <c r="A23" s="252">
        <v>3022</v>
      </c>
      <c r="B23" s="253" t="str">
        <f>'Custom cases'!D24</f>
        <v>Custom_RfG_Fault_3_MaxIQ_0.20pu</v>
      </c>
      <c r="C23" s="312"/>
      <c r="D23" s="168" t="s">
        <v>730</v>
      </c>
    </row>
    <row r="24" spans="1:4" x14ac:dyDescent="0.4">
      <c r="A24" s="252">
        <v>3023</v>
      </c>
      <c r="B24" s="253" t="str">
        <f>'Custom cases'!D25</f>
        <v>Custom_RfG_Fault_3_MaxIQ_0.19pu</v>
      </c>
      <c r="C24" s="312"/>
      <c r="D24" s="244" t="s">
        <v>11</v>
      </c>
    </row>
    <row r="25" spans="1:4" x14ac:dyDescent="0.4">
      <c r="A25" s="252">
        <v>3024</v>
      </c>
      <c r="B25" s="253" t="str">
        <f>'Custom cases'!D26</f>
        <v>Custom_RfG_Fault_3_MaxIQ_0.18pu</v>
      </c>
      <c r="C25" s="312"/>
      <c r="D25" s="244" t="s">
        <v>11</v>
      </c>
    </row>
    <row r="26" spans="1:4" x14ac:dyDescent="0.4">
      <c r="A26" s="252">
        <v>3025</v>
      </c>
      <c r="B26" s="253" t="str">
        <f>'Custom cases'!D27</f>
        <v>Custom_RfG_Fault_3_MaxIQ_0.17pu</v>
      </c>
      <c r="C26" s="312"/>
      <c r="D26" s="244" t="s">
        <v>11</v>
      </c>
    </row>
    <row r="27" spans="1:4" x14ac:dyDescent="0.4">
      <c r="A27" s="252">
        <v>3026</v>
      </c>
      <c r="B27" s="253" t="str">
        <f>'Custom cases'!D28</f>
        <v>Custom_RfG_Fault_3_MaxIQ_0.16pu</v>
      </c>
      <c r="C27" s="312"/>
      <c r="D27" s="244" t="s">
        <v>11</v>
      </c>
    </row>
    <row r="28" spans="1:4" ht="15" thickBot="1" x14ac:dyDescent="0.45">
      <c r="A28" s="254">
        <v>3027</v>
      </c>
      <c r="B28" s="255" t="str">
        <f>'Custom cases'!D29</f>
        <v>Custom_RfG_Fault_3_MaxIQ_0.15pu</v>
      </c>
      <c r="C28" s="313"/>
      <c r="D28" s="245" t="s">
        <v>11</v>
      </c>
    </row>
    <row r="29" spans="1:4" x14ac:dyDescent="0.4">
      <c r="A29" s="230">
        <v>3028</v>
      </c>
      <c r="B29" s="250" t="str">
        <f>'Custom cases'!D30</f>
        <v>Custom_RfG_Fault_3_0.2pu_Plim_0.5pu</v>
      </c>
      <c r="C29" s="311" t="s">
        <v>704</v>
      </c>
      <c r="D29" s="168" t="s">
        <v>728</v>
      </c>
    </row>
    <row r="30" spans="1:4" x14ac:dyDescent="0.4">
      <c r="A30" s="230">
        <v>3029</v>
      </c>
      <c r="B30" s="250" t="str">
        <f>'Custom cases'!D31</f>
        <v>Custom_RfG_Fault_2_0.2pu_Plim_0.5pu</v>
      </c>
      <c r="C30" s="312"/>
      <c r="D30" s="244" t="s">
        <v>11</v>
      </c>
    </row>
    <row r="31" spans="1:4" x14ac:dyDescent="0.4">
      <c r="A31" s="230">
        <v>3030</v>
      </c>
      <c r="B31" s="250" t="str">
        <f>'Custom cases'!D32</f>
        <v>Custom_RfG_Fault_1_0.2pu_Plim_0.5pu</v>
      </c>
      <c r="C31" s="312"/>
      <c r="D31" s="244" t="s">
        <v>11</v>
      </c>
    </row>
    <row r="32" spans="1:4" x14ac:dyDescent="0.4">
      <c r="A32" s="230">
        <v>3031</v>
      </c>
      <c r="B32" s="250" t="str">
        <f>'Custom cases'!D33</f>
        <v>Custom_RfG_Fault_3_0.2pu_Plim_0.15pu</v>
      </c>
      <c r="C32" s="312"/>
      <c r="D32" s="168" t="s">
        <v>705</v>
      </c>
    </row>
    <row r="33" spans="1:4" x14ac:dyDescent="0.4">
      <c r="A33" s="230">
        <v>3032</v>
      </c>
      <c r="B33" s="250" t="str">
        <f>'Custom cases'!D34</f>
        <v>Custom_RfG_Fault_2_0.2pu_Plim_0.15pu</v>
      </c>
      <c r="C33" s="312"/>
      <c r="D33" s="244" t="s">
        <v>11</v>
      </c>
    </row>
    <row r="34" spans="1:4" ht="15" thickBot="1" x14ac:dyDescent="0.45">
      <c r="A34" s="240">
        <v>3033</v>
      </c>
      <c r="B34" s="251" t="str">
        <f>'Custom cases'!D35</f>
        <v>Custom_RfG_Fault_1_0.2pu_Plim_0.15pu</v>
      </c>
      <c r="C34" s="313"/>
      <c r="D34" s="245" t="s">
        <v>11</v>
      </c>
    </row>
    <row r="35" spans="1:4" x14ac:dyDescent="0.4">
      <c r="A35" s="167">
        <v>3034</v>
      </c>
      <c r="B35" s="256" t="str">
        <f>'Custom cases'!D36</f>
        <v>Custom_RfG_Ucontrol_Plim_1.00pu</v>
      </c>
      <c r="C35" s="311" t="s">
        <v>709</v>
      </c>
      <c r="D35" s="168" t="s">
        <v>707</v>
      </c>
    </row>
    <row r="36" spans="1:4" x14ac:dyDescent="0.4">
      <c r="A36" s="167">
        <v>3035</v>
      </c>
      <c r="B36" s="256" t="str">
        <f>'Custom cases'!D37</f>
        <v>Custom_RfG_Ucontrol_Plim_0.50pu</v>
      </c>
      <c r="C36" s="312"/>
      <c r="D36" s="168" t="s">
        <v>706</v>
      </c>
    </row>
    <row r="37" spans="1:4" ht="15" thickBot="1" x14ac:dyDescent="0.45">
      <c r="A37" s="211">
        <v>3036</v>
      </c>
      <c r="B37" s="257" t="str">
        <f>'Custom cases'!D38</f>
        <v>Custom_RfG_Ucontrol_Plim_0.15pu</v>
      </c>
      <c r="C37" s="313"/>
      <c r="D37" s="172" t="s">
        <v>708</v>
      </c>
    </row>
    <row r="38" spans="1:4" ht="15" customHeight="1" x14ac:dyDescent="0.4">
      <c r="A38" s="271">
        <v>3037</v>
      </c>
      <c r="B38" s="272" t="str">
        <f>'Custom cases'!D39</f>
        <v>Custom_Fault_3_0.20pu_U0_1.118pu</v>
      </c>
      <c r="C38" s="311" t="s">
        <v>719</v>
      </c>
      <c r="D38" s="175" t="s">
        <v>710</v>
      </c>
    </row>
    <row r="39" spans="1:4" x14ac:dyDescent="0.4">
      <c r="A39" s="273">
        <v>3038</v>
      </c>
      <c r="B39" s="274" t="str">
        <f>'Custom cases'!D40</f>
        <v>Custom_Fault_2_0.20pu_U0_1.118pu</v>
      </c>
      <c r="C39" s="312"/>
      <c r="D39" s="244" t="s">
        <v>11</v>
      </c>
    </row>
    <row r="40" spans="1:4" x14ac:dyDescent="0.4">
      <c r="A40" s="273">
        <v>3039</v>
      </c>
      <c r="B40" s="274" t="str">
        <f>'Custom cases'!D41</f>
        <v>Custom_Fault_1_0.20pu_U0_1.118pu</v>
      </c>
      <c r="C40" s="312"/>
      <c r="D40" s="244" t="s">
        <v>11</v>
      </c>
    </row>
    <row r="41" spans="1:4" x14ac:dyDescent="0.4">
      <c r="A41" s="273">
        <v>3040</v>
      </c>
      <c r="B41" s="274" t="str">
        <f>'Custom cases'!D42</f>
        <v>Custom_Fault_3_0.20pu_U0_0.968pu</v>
      </c>
      <c r="C41" s="312"/>
      <c r="D41" s="168" t="s">
        <v>711</v>
      </c>
    </row>
    <row r="42" spans="1:4" x14ac:dyDescent="0.4">
      <c r="A42" s="273">
        <v>3041</v>
      </c>
      <c r="B42" s="274" t="str">
        <f>'Custom cases'!D43</f>
        <v>Custom_Fault_2_0.20pu_U0_0.968pu</v>
      </c>
      <c r="C42" s="312"/>
      <c r="D42" s="244" t="s">
        <v>11</v>
      </c>
    </row>
    <row r="43" spans="1:4" ht="15" thickBot="1" x14ac:dyDescent="0.45">
      <c r="A43" s="275">
        <v>3042</v>
      </c>
      <c r="B43" s="276" t="str">
        <f>'Custom cases'!D44</f>
        <v>Custom_Fault_1_0.20pu_U0_0.968pu</v>
      </c>
      <c r="C43" s="313"/>
      <c r="D43" s="245" t="s">
        <v>11</v>
      </c>
    </row>
    <row r="44" spans="1:4" ht="29.15" x14ac:dyDescent="0.4">
      <c r="A44" s="160">
        <v>3043</v>
      </c>
      <c r="B44" s="270" t="str">
        <f>'Custom cases'!D45</f>
        <v>Custom_Fault_3_U0_1.118_Uend_1.065</v>
      </c>
      <c r="C44" s="311" t="s">
        <v>720</v>
      </c>
      <c r="D44" s="175" t="s">
        <v>713</v>
      </c>
    </row>
    <row r="45" spans="1:4" x14ac:dyDescent="0.4">
      <c r="A45" s="161">
        <v>3044</v>
      </c>
      <c r="B45" s="247" t="str">
        <f>'Custom cases'!D46</f>
        <v>Custom_Fault_2_U0_1.118_Uend_1.065</v>
      </c>
      <c r="C45" s="312"/>
      <c r="D45" s="244" t="s">
        <v>11</v>
      </c>
    </row>
    <row r="46" spans="1:4" x14ac:dyDescent="0.4">
      <c r="A46" s="161">
        <v>3045</v>
      </c>
      <c r="B46" s="247" t="str">
        <f>'Custom cases'!D47</f>
        <v>Custom_Fault_1_U0_1.118_Uend_1.065</v>
      </c>
      <c r="C46" s="312"/>
      <c r="D46" s="244" t="s">
        <v>11</v>
      </c>
    </row>
    <row r="47" spans="1:4" x14ac:dyDescent="0.4">
      <c r="A47" s="161">
        <v>3046</v>
      </c>
      <c r="B47" s="247" t="str">
        <f>'Custom cases'!D48</f>
        <v>Custom_Fault_3_U0_1.118_Uend_0.968</v>
      </c>
      <c r="C47" s="312"/>
      <c r="D47" s="244" t="s">
        <v>11</v>
      </c>
    </row>
    <row r="48" spans="1:4" ht="29.15" x14ac:dyDescent="0.4">
      <c r="A48" s="161">
        <v>3047</v>
      </c>
      <c r="B48" s="247" t="str">
        <f>'Custom cases'!D49</f>
        <v>Custom_Fault_3_U0_0.959_Uend_1.065</v>
      </c>
      <c r="C48" s="312"/>
      <c r="D48" s="168" t="s">
        <v>712</v>
      </c>
    </row>
    <row r="49" spans="1:4" x14ac:dyDescent="0.4">
      <c r="A49" s="161">
        <v>3048</v>
      </c>
      <c r="B49" s="247" t="str">
        <f>'Custom cases'!D50</f>
        <v>Custom_Fault_2_U0_0.959_Uend_1.065</v>
      </c>
      <c r="C49" s="312"/>
      <c r="D49" s="244" t="s">
        <v>11</v>
      </c>
    </row>
    <row r="50" spans="1:4" x14ac:dyDescent="0.4">
      <c r="A50" s="161">
        <v>3049</v>
      </c>
      <c r="B50" s="247" t="str">
        <f>'Custom cases'!D51</f>
        <v>Custom_Fault_1_U0_0.959_Uend_1.065</v>
      </c>
      <c r="C50" s="312"/>
      <c r="D50" s="244" t="s">
        <v>11</v>
      </c>
    </row>
    <row r="51" spans="1:4" x14ac:dyDescent="0.4">
      <c r="A51" s="161">
        <v>3050</v>
      </c>
      <c r="B51" s="247" t="str">
        <f>'Custom cases'!D52</f>
        <v>Custom_Fault_3_U0_0.959_Uend_1.118</v>
      </c>
      <c r="C51" s="312"/>
      <c r="D51" s="244" t="s">
        <v>11</v>
      </c>
    </row>
    <row r="52" spans="1:4" ht="29.15" x14ac:dyDescent="0.4">
      <c r="A52" s="161">
        <v>3051</v>
      </c>
      <c r="B52" s="247" t="str">
        <f>'Custom cases'!D53</f>
        <v>Custom_Fault_3_U0_1.118_Uend_0.900</v>
      </c>
      <c r="C52" s="312"/>
      <c r="D52" s="168" t="s">
        <v>714</v>
      </c>
    </row>
    <row r="53" spans="1:4" x14ac:dyDescent="0.4">
      <c r="A53" s="161">
        <v>3052</v>
      </c>
      <c r="B53" s="247" t="str">
        <f>'Custom cases'!D54</f>
        <v>Custom_Fault_3_U0_1.065_Uend_0.900</v>
      </c>
      <c r="C53" s="312"/>
      <c r="D53" s="244" t="s">
        <v>11</v>
      </c>
    </row>
    <row r="54" spans="1:4" ht="15" thickBot="1" x14ac:dyDescent="0.45">
      <c r="A54" s="248">
        <v>3053</v>
      </c>
      <c r="B54" s="249" t="str">
        <f>'Custom cases'!D55</f>
        <v>Custom_Fault_3_U0_0.959_Uend_0.900</v>
      </c>
      <c r="C54" s="313"/>
      <c r="D54" s="245" t="s">
        <v>11</v>
      </c>
    </row>
    <row r="55" spans="1:4" ht="15.65" customHeight="1" x14ac:dyDescent="0.4">
      <c r="A55" s="264">
        <v>3054</v>
      </c>
      <c r="B55" s="265" t="str">
        <f>'Custom cases'!D56</f>
        <v>Custom_Fault_3_U0_1.065pu_OVRT_1.15</v>
      </c>
      <c r="C55" s="311" t="s">
        <v>721</v>
      </c>
      <c r="D55" s="175" t="s">
        <v>716</v>
      </c>
    </row>
    <row r="56" spans="1:4" ht="15.65" customHeight="1" x14ac:dyDescent="0.4">
      <c r="A56" s="266">
        <v>3055</v>
      </c>
      <c r="B56" s="267" t="str">
        <f>'Custom cases'!D57</f>
        <v>Custom_Fault_3_U0_1.065pu_OVRT_1.20</v>
      </c>
      <c r="C56" s="312"/>
      <c r="D56" s="168" t="s">
        <v>716</v>
      </c>
    </row>
    <row r="57" spans="1:4" x14ac:dyDescent="0.4">
      <c r="A57" s="266">
        <v>3056</v>
      </c>
      <c r="B57" s="267" t="str">
        <f>'Custom cases'!D58</f>
        <v>Custom_Fault_3_U0_1.065pu_OVRT_1.30</v>
      </c>
      <c r="C57" s="312"/>
      <c r="D57" s="168" t="s">
        <v>715</v>
      </c>
    </row>
    <row r="58" spans="1:4" x14ac:dyDescent="0.4">
      <c r="A58" s="266">
        <v>3057</v>
      </c>
      <c r="B58" s="267" t="str">
        <f>'Custom cases'!D59</f>
        <v>Custom_Fault_3_U0_1.065pu_OVRT_1.15</v>
      </c>
      <c r="C58" s="312"/>
      <c r="D58" s="168" t="s">
        <v>717</v>
      </c>
    </row>
    <row r="59" spans="1:4" x14ac:dyDescent="0.4">
      <c r="A59" s="266">
        <v>3058</v>
      </c>
      <c r="B59" s="267" t="str">
        <f>'Custom cases'!D60</f>
        <v>Custom_Fault_3_U0_1.065pu_OVRT_1.20</v>
      </c>
      <c r="C59" s="312"/>
      <c r="D59" s="168" t="s">
        <v>717</v>
      </c>
    </row>
    <row r="60" spans="1:4" ht="15" thickBot="1" x14ac:dyDescent="0.45">
      <c r="A60" s="268">
        <v>3059</v>
      </c>
      <c r="B60" s="269" t="str">
        <f>'Custom cases'!D61</f>
        <v>Custom_Fault_3_U0_1.065pu_OVRT_1.30</v>
      </c>
      <c r="C60" s="313"/>
      <c r="D60" s="172" t="s">
        <v>718</v>
      </c>
    </row>
    <row r="61" spans="1:4" x14ac:dyDescent="0.4">
      <c r="A61" s="262">
        <v>3060</v>
      </c>
      <c r="B61" s="263" t="str">
        <f>'Custom cases'!D62</f>
        <v>Custom_Fault_3_0.20pu_SCR_2</v>
      </c>
      <c r="C61" s="311" t="s">
        <v>722</v>
      </c>
      <c r="D61" s="175" t="s">
        <v>723</v>
      </c>
    </row>
    <row r="62" spans="1:4" x14ac:dyDescent="0.4">
      <c r="A62" s="258">
        <v>3061</v>
      </c>
      <c r="B62" s="259" t="str">
        <f>'Custom cases'!D63</f>
        <v>Custom_Fault_3_0.20pu_SCR_3</v>
      </c>
      <c r="C62" s="312"/>
      <c r="D62" s="244" t="s">
        <v>11</v>
      </c>
    </row>
    <row r="63" spans="1:4" x14ac:dyDescent="0.4">
      <c r="A63" s="258">
        <v>3062</v>
      </c>
      <c r="B63" s="259" t="str">
        <f>'Custom cases'!D64</f>
        <v>Custom_Fault_3_0.20pu_SCR_4</v>
      </c>
      <c r="C63" s="312"/>
      <c r="D63" s="244" t="s">
        <v>11</v>
      </c>
    </row>
    <row r="64" spans="1:4" x14ac:dyDescent="0.4">
      <c r="A64" s="258">
        <v>3063</v>
      </c>
      <c r="B64" s="259" t="str">
        <f>'Custom cases'!D65</f>
        <v>Custom_Fault_3_0.20pu_SCR_5</v>
      </c>
      <c r="C64" s="312"/>
      <c r="D64" s="244" t="s">
        <v>11</v>
      </c>
    </row>
    <row r="65" spans="1:4" x14ac:dyDescent="0.4">
      <c r="A65" s="258">
        <v>3064</v>
      </c>
      <c r="B65" s="259" t="str">
        <f>'Custom cases'!D66</f>
        <v>Custom_Fault_3_0.20pu_SCR_6</v>
      </c>
      <c r="C65" s="312"/>
      <c r="D65" s="244" t="s">
        <v>11</v>
      </c>
    </row>
    <row r="66" spans="1:4" x14ac:dyDescent="0.4">
      <c r="A66" s="258">
        <v>3065</v>
      </c>
      <c r="B66" s="259" t="str">
        <f>'Custom cases'!D67</f>
        <v>Custom_Fault_2_0.20pu_SCR_2</v>
      </c>
      <c r="C66" s="312"/>
      <c r="D66" s="244" t="s">
        <v>11</v>
      </c>
    </row>
    <row r="67" spans="1:4" x14ac:dyDescent="0.4">
      <c r="A67" s="258">
        <v>3066</v>
      </c>
      <c r="B67" s="259" t="str">
        <f>'Custom cases'!D68</f>
        <v>Custom_Fault_2_0.20pu_SCR_3</v>
      </c>
      <c r="C67" s="312"/>
      <c r="D67" s="244" t="s">
        <v>11</v>
      </c>
    </row>
    <row r="68" spans="1:4" x14ac:dyDescent="0.4">
      <c r="A68" s="258">
        <v>3067</v>
      </c>
      <c r="B68" s="259" t="str">
        <f>'Custom cases'!D69</f>
        <v>Custom_Fault_2_0.20pu_SCR_4</v>
      </c>
      <c r="C68" s="312"/>
      <c r="D68" s="244" t="s">
        <v>11</v>
      </c>
    </row>
    <row r="69" spans="1:4" x14ac:dyDescent="0.4">
      <c r="A69" s="258">
        <v>3068</v>
      </c>
      <c r="B69" s="259" t="str">
        <f>'Custom cases'!D70</f>
        <v>Custom_Fault_2_0.20pu_SCR_5</v>
      </c>
      <c r="C69" s="312"/>
      <c r="D69" s="244" t="s">
        <v>11</v>
      </c>
    </row>
    <row r="70" spans="1:4" x14ac:dyDescent="0.4">
      <c r="A70" s="258">
        <v>3069</v>
      </c>
      <c r="B70" s="259" t="str">
        <f>'Custom cases'!D71</f>
        <v>Custom_Fault_2_0.20pu_SCR_6</v>
      </c>
      <c r="C70" s="312"/>
      <c r="D70" s="244" t="s">
        <v>11</v>
      </c>
    </row>
    <row r="71" spans="1:4" x14ac:dyDescent="0.4">
      <c r="A71" s="258">
        <v>3070</v>
      </c>
      <c r="B71" s="259" t="str">
        <f>'Custom cases'!D72</f>
        <v>Custom_Fault_3_0.70pu_SCR_2</v>
      </c>
      <c r="C71" s="312"/>
      <c r="D71" s="244" t="s">
        <v>11</v>
      </c>
    </row>
    <row r="72" spans="1:4" x14ac:dyDescent="0.4">
      <c r="A72" s="258">
        <v>3071</v>
      </c>
      <c r="B72" s="259" t="str">
        <f>'Custom cases'!D73</f>
        <v>Custom_Fault_3_0.70pu_SCR_3</v>
      </c>
      <c r="C72" s="312"/>
      <c r="D72" s="244" t="s">
        <v>11</v>
      </c>
    </row>
    <row r="73" spans="1:4" x14ac:dyDescent="0.4">
      <c r="A73" s="258">
        <v>3072</v>
      </c>
      <c r="B73" s="259" t="str">
        <f>'Custom cases'!D74</f>
        <v>Custom_Fault_3_0.70pu_SCR_4</v>
      </c>
      <c r="C73" s="312"/>
      <c r="D73" s="244" t="s">
        <v>11</v>
      </c>
    </row>
    <row r="74" spans="1:4" x14ac:dyDescent="0.4">
      <c r="A74" s="258">
        <v>3073</v>
      </c>
      <c r="B74" s="259" t="str">
        <f>'Custom cases'!D75</f>
        <v>Custom_Fault_3_0.70pu_SCR_5</v>
      </c>
      <c r="C74" s="312"/>
      <c r="D74" s="244" t="s">
        <v>11</v>
      </c>
    </row>
    <row r="75" spans="1:4" x14ac:dyDescent="0.4">
      <c r="A75" s="258">
        <v>3074</v>
      </c>
      <c r="B75" s="259" t="str">
        <f>'Custom cases'!D76</f>
        <v>Custom_Fault_3_0.70pu_SCR_6</v>
      </c>
      <c r="C75" s="312"/>
      <c r="D75" s="244" t="s">
        <v>11</v>
      </c>
    </row>
    <row r="76" spans="1:4" x14ac:dyDescent="0.4">
      <c r="A76" s="258">
        <v>3075</v>
      </c>
      <c r="B76" s="259" t="str">
        <f>'Custom cases'!D77</f>
        <v>Custom_Fault_2_0.70pu_SCR_2</v>
      </c>
      <c r="C76" s="312"/>
      <c r="D76" s="244" t="s">
        <v>11</v>
      </c>
    </row>
    <row r="77" spans="1:4" x14ac:dyDescent="0.4">
      <c r="A77" s="258">
        <v>3076</v>
      </c>
      <c r="B77" s="259" t="str">
        <f>'Custom cases'!D78</f>
        <v>Custom_Fault_2_0.70pu_SCR_3</v>
      </c>
      <c r="C77" s="312"/>
      <c r="D77" s="244" t="s">
        <v>11</v>
      </c>
    </row>
    <row r="78" spans="1:4" x14ac:dyDescent="0.4">
      <c r="A78" s="258">
        <v>3077</v>
      </c>
      <c r="B78" s="259" t="str">
        <f>'Custom cases'!D79</f>
        <v>Custom_Fault_2_0.70pu_SCR_4</v>
      </c>
      <c r="C78" s="312"/>
      <c r="D78" s="244" t="s">
        <v>11</v>
      </c>
    </row>
    <row r="79" spans="1:4" x14ac:dyDescent="0.4">
      <c r="A79" s="258">
        <v>3078</v>
      </c>
      <c r="B79" s="259" t="str">
        <f>'Custom cases'!D80</f>
        <v>Custom_Fault_2_0.70pu_SCR_5</v>
      </c>
      <c r="C79" s="312"/>
      <c r="D79" s="244" t="s">
        <v>11</v>
      </c>
    </row>
    <row r="80" spans="1:4" ht="15" thickBot="1" x14ac:dyDescent="0.45">
      <c r="A80" s="260">
        <v>3079</v>
      </c>
      <c r="B80" s="261" t="str">
        <f>'Custom cases'!D81</f>
        <v>Custom_Fault_2_0.70pu_SCR_6</v>
      </c>
      <c r="C80" s="313"/>
      <c r="D80" s="245" t="s">
        <v>11</v>
      </c>
    </row>
    <row r="81" spans="1:4" x14ac:dyDescent="0.4">
      <c r="A81" s="230">
        <v>3080</v>
      </c>
      <c r="B81" s="250" t="str">
        <f>'Custom cases'!D82</f>
        <v>Custom_Fault_3_0.20pu_Duration_80</v>
      </c>
      <c r="C81" s="311" t="s">
        <v>724</v>
      </c>
      <c r="D81" s="168" t="s">
        <v>725</v>
      </c>
    </row>
    <row r="82" spans="1:4" x14ac:dyDescent="0.4">
      <c r="A82" s="230">
        <v>3081</v>
      </c>
      <c r="B82" s="250" t="str">
        <f>'Custom cases'!D83</f>
        <v>Custom_Fault_3_0.20pu_Duration_60</v>
      </c>
      <c r="C82" s="312"/>
      <c r="D82" s="244" t="s">
        <v>11</v>
      </c>
    </row>
    <row r="83" spans="1:4" x14ac:dyDescent="0.4">
      <c r="A83" s="230">
        <v>3082</v>
      </c>
      <c r="B83" s="250" t="str">
        <f>'Custom cases'!D84</f>
        <v>Custom_Fault_3_0.20pu_Duration_40</v>
      </c>
      <c r="C83" s="312"/>
      <c r="D83" s="244" t="s">
        <v>11</v>
      </c>
    </row>
    <row r="84" spans="1:4" ht="29.15" x14ac:dyDescent="0.4">
      <c r="A84" s="230">
        <v>3083</v>
      </c>
      <c r="B84" s="250" t="str">
        <f>'Custom cases'!D85</f>
        <v>Custom_Shift_10_Fault_3_0.20pu</v>
      </c>
      <c r="C84" s="312"/>
      <c r="D84" s="168" t="s">
        <v>726</v>
      </c>
    </row>
    <row r="85" spans="1:4" x14ac:dyDescent="0.4">
      <c r="A85" s="230">
        <v>3084</v>
      </c>
      <c r="B85" s="250" t="str">
        <f>'Custom cases'!D86</f>
        <v>Custom_Shift_20_Fault_3_0.20pu</v>
      </c>
      <c r="C85" s="312"/>
      <c r="D85" s="244" t="s">
        <v>11</v>
      </c>
    </row>
    <row r="86" spans="1:4" x14ac:dyDescent="0.4">
      <c r="A86" s="230">
        <v>3085</v>
      </c>
      <c r="B86" s="250" t="str">
        <f>'Custom cases'!D87</f>
        <v>Custom_Shift_30_Fault_3_0.20pu</v>
      </c>
      <c r="C86" s="312"/>
      <c r="D86" s="244" t="s">
        <v>11</v>
      </c>
    </row>
    <row r="87" spans="1:4" x14ac:dyDescent="0.4">
      <c r="A87" s="230">
        <v>3086</v>
      </c>
      <c r="B87" s="250" t="str">
        <f>'Custom cases'!D88</f>
        <v>Custom_Shift_40_Fault_3_0.20pu</v>
      </c>
      <c r="C87" s="312"/>
      <c r="D87" s="244" t="s">
        <v>11</v>
      </c>
    </row>
    <row r="88" spans="1:4" ht="15" thickBot="1" x14ac:dyDescent="0.45">
      <c r="A88" s="240">
        <v>3087</v>
      </c>
      <c r="B88" s="251" t="str">
        <f>'Custom cases'!D89</f>
        <v>Custom_Shift_50_Fault_3_0.20pu</v>
      </c>
      <c r="C88" s="313"/>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2026-01-08T11:51:57Z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