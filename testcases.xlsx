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JAFPE\git_mtb\MTB\"/>
    </mc:Choice>
  </mc:AlternateContent>
  <bookViews>
    <workbookView xWindow="21465" yWindow="-21720" windowWidth="38640" windowHeight="21120" tabRatio="822" activeTab="2"/>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83" i="6" l="1"/>
  <c r="AC183" i="6" s="1"/>
  <c r="O183" i="6" s="1"/>
  <c r="AD182" i="6"/>
  <c r="AC182" i="6" s="1"/>
  <c r="O182" i="6" s="1"/>
  <c r="M183" i="6"/>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J75" i="6"/>
  <c r="E75" i="6"/>
  <c r="M81" i="6"/>
  <c r="L81" i="6"/>
  <c r="J81" i="6"/>
  <c r="E81" i="6"/>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J28" i="6"/>
  <c r="E28" i="6"/>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J27" i="6"/>
  <c r="E27" i="6"/>
  <c r="AD25" i="6"/>
  <c r="AC25" i="6" s="1"/>
  <c r="M25" i="6"/>
  <c r="L25" i="6"/>
  <c r="J25" i="6"/>
  <c r="E25" i="6"/>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J79" i="15"/>
  <c r="E79" i="15"/>
  <c r="M110" i="6"/>
  <c r="L110" i="6"/>
  <c r="J110" i="6"/>
  <c r="E110" i="6"/>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J95" i="6"/>
  <c r="E95" i="6"/>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J116" i="6"/>
  <c r="E116" i="6"/>
  <c r="L115" i="6"/>
  <c r="E115" i="6"/>
  <c r="J115" i="6" s="1"/>
  <c r="L114" i="6"/>
  <c r="J114" i="6"/>
  <c r="E114" i="6"/>
  <c r="L113" i="6"/>
  <c r="J113" i="6"/>
  <c r="E113" i="6"/>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J23" i="6"/>
  <c r="E23" i="6"/>
  <c r="L22" i="6"/>
  <c r="J22" i="6"/>
  <c r="E22" i="6"/>
  <c r="L21" i="6"/>
  <c r="E21" i="6"/>
  <c r="J21" i="6" s="1"/>
  <c r="L20" i="6"/>
  <c r="J20" i="6"/>
  <c r="E20" i="6"/>
  <c r="L19" i="6"/>
  <c r="J19" i="6"/>
  <c r="E19" i="6"/>
  <c r="L18" i="6"/>
  <c r="J18" i="6"/>
  <c r="E18" i="6"/>
  <c r="L17" i="6"/>
  <c r="E17" i="6"/>
  <c r="J17" i="6" s="1"/>
  <c r="L16" i="6"/>
  <c r="J16" i="6"/>
  <c r="E16" i="6"/>
  <c r="L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<sst xmlns="http://schemas.openxmlformats.org/spreadsheetml/2006/main" count="5507" uniqueCount="945">
  <si>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</si>
  <si>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</si>
  <si>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</si>
  <si>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</si>
  <si>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</si>
  <si>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</si>
  <si>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</si>
  <si>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</si>
  <si>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</si>
  <si>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</si>
  <si>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</si>
  <si>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</si>
  <si>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</si>
  <si>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</si>
  <si>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</si>
  <si>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</si>
  <si>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</si>
  <si>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</si>
  <si>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</si>
  <si>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</si>
  <si>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</si>
  <si>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</si>
  <si>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</si>
  <si>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</si>
  <si>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</si>
  <si>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</si>
  <si>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</si>
  <si>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</si>
  <si>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</si>
  <si>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</si>
  <si>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</si>
  <si>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</si>
  <si>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</si>
  <si>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</si>
  <si>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</si>
  <si>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</si>
  <si>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</si>
  <si>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</si>
  <si>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</si>
  <si>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</si>
  <si>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</si>
  <si>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</si>
  <si>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</si>
  <si>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</si>
  <si>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</si>
  <si>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</si>
  <si>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</si>
  <si>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</si>
  <si>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</si>
  <si>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</si>
  <si>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</si>
  <si>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</si>
  <si>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</si>
  <si>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</si>
  <si>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</si>
  <si>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</si>
  <si>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</si>
  <si>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</si>
  <si>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</si>
  <si>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</si>
  <si>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</si>
  <si>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</si>
  <si>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</si>
  <si>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</si>
  <si>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</si>
  <si>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</si>
  <si>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</si>
  <si>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</si>
  <si>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</si>
  <si>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</si>
  <si>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</si>
  <si>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</si>
  <si>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</si>
  <si>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</si>
  <si>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</si>
  <si>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</si>
  <si>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</si>
  <si>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</si>
  <si>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</si>
  <si>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</si>
  <si>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</si>
  <si>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</si>
  <si>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</si>
  <si>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</si>
  <si>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</si>
  <si>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</si>
  <si>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</si>
  <si>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</si>
  <si>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</si>
  <si>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</si>
  <si>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</si>
  <si>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</si>
  <si>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</si>
  <si>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</si>
  <si>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</si>
  <si>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</si>
  <si>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</si>
  <si>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</si>
  <si>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</si>
  <si>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</si>
  <si>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</si>
  <si>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</si>
  <si>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</si>
  <si>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</si>
  <si>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</si>
  <si>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</si>
  <si>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</si>
  <si>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</si>
  <si>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</si>
  <si>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</si>
  <si>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</si>
  <si>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</si>
  <si>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</si>
  <si>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</si>
  <si>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</si>
  <si>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</si>
  <si>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</si>
  <si>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</si>
  <si>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</si>
  <si>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</si>
  <si>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</si>
  <si>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</si>
  <si>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</si>
  <si>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</si>
  <si>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</si>
  <si>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</si>
  <si>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</si>
  <si>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</si>
  <si>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</si>
  <si>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</si>
  <si>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</si>
  <si>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</si>
  <si>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</si>
  <si>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</si>
  <si>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</si>
  <si>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</si>
  <si>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</si>
  <si>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</si>
  <si>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</si>
  <si>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</si>
  <si>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</si>
  <si>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</si>
  <si>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</si>
  <si>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</si>
  <si>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</si>
  <si>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</si>
  <si>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</si>
  <si>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</si>
  <si>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</si>
  <si>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</si>
  <si>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</si>
  <si>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</si>
  <si>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</si>
  <si>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</si>
  <si>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</si>
  <si>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</si>
  <si>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</si>
  <si>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</si>
  <si>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</si>
  <si>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</si>
  <si>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</si>
  <si>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</si>
  <si>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</si>
  <si>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</si>
  <si>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</si>
  <si>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</si>
  <si>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</si>
  <si>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</si>
  <si>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</si>
  <si>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</si>
  <si>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</si>
  <si>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</si>
  <si>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</si>
  <si>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</si>
  <si>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</si>
  <si>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</si>
  <si>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</si>
  <si>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</si>
  <si>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</si>
  <si>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</si>
  <si>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</si>
  <si>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</si>
  <si>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</si>
  <si>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</si>
  <si>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</si>
  <si>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</si>
  <si>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</si>
  <si>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</si>
  <si>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</si>
  <si>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</si>
  <si>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</si>
  <si>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</si>
  <si>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</si>
  <si>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</si>
  <si>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</si>
  <si>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</si>
  <si>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</si>
  <si>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</si>
  <si>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</si>
  <si>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</si>
  <si>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</si>
  <si>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</si>
  <si>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</si>
  <si>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</si>
  <si>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</si>
  <si>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</si>
  <si>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</si>
  <si>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</si>
  <si>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</si>
  <si>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</si>
  <si>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</si>
  <si>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</si>
  <si>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</si>
  <si>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</si>
  <si>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</si>
  <si>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</si>
  <si>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</si>
  <si>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</si>
  <si>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</si>
  <si>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</si>
  <si>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</si>
  <si>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</si>
  <si>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</si>
  <si>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</si>
  <si>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</si>
  <si>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</si>
  <si>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</si>
  <si>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</si>
  <si>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</si>
  <si>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</si>
  <si>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</si>
  <si>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</si>
  <si>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</si>
  <si>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</si>
  <si>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</si>
  <si>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</si>
  <si>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</si>
  <si>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</si>
  <si>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</si>
  <si>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</si>
  <si>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</si>
  <si>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</si>
  <si>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</si>
  <si>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</si>
  <si>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</si>
  <si>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</si>
  <si>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</si>
  <si>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</si>
  <si>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</si>
  <si>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</si>
  <si>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</si>
  <si>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</si>
  <si>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</si>
  <si>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</si>
  <si>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</si>
  <si>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</si>
  <si>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</si>
  <si>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</si>
  <si>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</si>
  <si>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</si>
  <si>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</si>
  <si>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</si>
  <si>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</si>
  <si>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</si>
  <si>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</si>
  <si>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</si>
  <si>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</si>
  <si>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</si>
  <si>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</si>
  <si>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</si>
  <si>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</si>
  <si>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</si>
  <si>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</si>
  <si>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</si>
  <si>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</si>
  <si>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</si>
  <si>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</si>
  <si>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</si>
  <si>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</si>
  <si>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</si>
  <si>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</si>
  <si>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</si>
  <si>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</si>
  <si>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</si>
  <si>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</si>
  <si>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</si>
  <si>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</si>
  <si>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</si>
  <si>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</si>
  <si>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</si>
  <si>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</si>
  <si>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</si>
  <si>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</si>
  <si>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</si>
  <si>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</si>
  <si>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</si>
  <si>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</si>
  <si>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</si>
  <si>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</si>
  <si>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</si>
  <si>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</si>
  <si>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</si>
  <si>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</si>
  <si>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</si>
  <si>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</si>
  <si>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</si>
  <si>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</si>
  <si>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</si>
  <si>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</si>
  <si>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</si>
  <si>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</si>
  <si>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</si>
  <si>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</si>
  <si>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</si>
  <si>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</si>
  <si>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</si>
  <si>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</si>
  <si>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</si>
  <si>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</si>
  <si>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</si>
  <si>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</si>
  <si>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</si>
  <si>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</si>
  <si>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</si>
  <si>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</si>
  <si>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</si>
  <si>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</si>
  <si>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</si>
  <si>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</si>
  <si>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</si>
  <si>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</si>
  <si>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</si>
  <si>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</si>
  <si>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</si>
  <si>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</si>
  <si>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</si>
  <si>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</si>
  <si>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</si>
  <si>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</si>
  <si>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</si>
  <si>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</si>
  <si>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</si>
  <si>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</si>
  <si>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</si>
  <si>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</si>
  <si>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</si>
  <si>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</si>
  <si>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</si>
  <si>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</si>
  <si>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</si>
  <si>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</si>
  <si>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</si>
  <si>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</si>
  <si>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</si>
  <si>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</si>
  <si>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</si>
  <si>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</si>
  <si>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</si>
  <si>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</si>
  <si>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</si>
  <si>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</si>
  <si>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</si>
  <si>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</si>
  <si>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</si>
  <si>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</si>
  <si>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</si>
  <si>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</si>
  <si>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</si>
  <si>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</si>
  <si>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</si>
  <si>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</si>
  <si>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</si>
  <si>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</si>
  <si>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</si>
  <si>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</si>
  <si>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</si>
  <si>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</si>
  <si>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</si>
  <si>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</si>
  <si>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</si>
  <si>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</si>
  <si>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</si>
  <si>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</si>
  <si>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</si>
  <si>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</si>
  <si>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</si>
  <si>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</si>
  <si>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</si>
  <si>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</si>
  <si>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</si>
  <si>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</si>
  <si>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</si>
  <si>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</si>
  <si>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</si>
  <si>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</si>
  <si>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</si>
  <si>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</si>
  <si>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</si>
  <si>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</si>
  <si>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</si>
  <si>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</si>
  <si>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</si>
  <si>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</si>
  <si>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</si>
  <si>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</si>
  <si>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</si>
  <si>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</si>
  <si>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</si>
  <si>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</si>
  <si>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</si>
  <si>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</si>
  <si>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</si>
  <si>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</si>
  <si>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</si>
  <si>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</si>
  <si>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</si>
  <si>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</si>
  <si>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</si>
  <si>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</si>
  <si>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</si>
  <si>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</si>
  <si>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</si>
  <si>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</si>
  <si>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</si>
  <si>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</si>
  <si>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</si>
  <si>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</si>
  <si>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</si>
  <si>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</si>
  <si>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</si>
  <si>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</si>
  <si>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</si>
  <si>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</si>
  <si>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</si>
  <si>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</si>
  <si>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</si>
  <si>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</si>
  <si>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</si>
  <si>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</si>
  <si>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</si>
  <si>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</si>
  <si>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</si>
  <si>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</si>
  <si>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</si>
  <si>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</si>
  <si>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</si>
  <si>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</si>
  <si>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</si>
  <si>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</si>
  <si>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</si>
  <si>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</si>
  <si>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</si>
  <si>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</si>
  <si>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</si>
  <si>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</si>
  <si>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</si>
  <si>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</si>
  <si>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</si>
  <si>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</si>
  <si>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</si>
  <si>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</si>
  <si>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</si>
  <si>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</si>
  <si>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</si>
  <si>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</si>
  <si>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</si>
  <si>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</si>
  <si>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</si>
  <si>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</si>
  <si>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</si>
  <si>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</si>
  <si>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</si>
  <si>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</si>
  <si>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</si>
  <si>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</si>
  <si>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</si>
  <si>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</si>
  <si>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</si>
  <si>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</si>
  <si>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</si>
  <si>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</si>
  <si>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</si>
  <si>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</si>
  <si>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</si>
  <si>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</si>
  <si>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</si>
  <si>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</si>
  <si>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</si>
  <si>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</si>
  <si>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</si>
  <si>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</si>
  <si>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</si>
  <si>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</si>
  <si>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</si>
  <si>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</si>
  <si>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</si>
  <si>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</si>
  <si>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</si>
  <si>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</si>
  <si>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</si>
  <si>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</si>
  <si>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</si>
  <si>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</si>
  <si>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</si>
  <si>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</si>
  <si>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</si>
  <si>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</si>
  <si>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</si>
  <si>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</si>
  <si>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</si>
  <si>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</si>
  <si>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</si>
  <si>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</si>
  <si>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</si>
  <si>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</si>
  <si>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</si>
  <si>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</si>
  <si>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</si>
  <si>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</si>
  <si>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</si>
  <si>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</si>
  <si>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</si>
  <si>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</si>
  <si>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</si>
  <si>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</si>
  <si>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</si>
  <si>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</si>
  <si>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</si>
  <si>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</si>
  <si>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</si>
  <si>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</si>
  <si>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</si>
  <si>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</si>
  <si>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</si>
  <si>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</si>
  <si>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</si>
  <si>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</si>
  <si>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</si>
  <si>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</si>
  <si>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</si>
  <si>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</si>
  <si>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</si>
  <si>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</si>
  <si>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</si>
  <si>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</si>
  <si>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</si>
  <si>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</si>
  <si>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</si>
  <si>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</si>
  <si>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</si>
  <si>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</si>
  <si>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</si>
  <si>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</si>
  <si>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</si>
  <si>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</si>
  <si>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</si>
  <si>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</si>
  <si>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</si>
  <si>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</si>
  <si>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</si>
  <si>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</si>
  <si>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</si>
  <si>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</si>
  <si>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</si>
  <si>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</si>
  <si>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</si>
  <si>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</si>
  <si>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</si>
  <si>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</si>
  <si>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</si>
  <si>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</si>
  <si>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</si>
  <si>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</si>
  <si>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</si>
  <si>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</si>
  <si>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</si>
  <si>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</si>
  <si>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</si>
  <si>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</si>
  <si>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</si>
  <si>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</si>
  <si>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</si>
  <si>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</si>
  <si>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</si>
  <si>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</si>
  <si>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</si>
  <si>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</si>
  <si>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</si>
  <si>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</si>
  <si>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</si>
  <si>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</si>
  <si>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</si>
  <si>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</si>
  <si>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</si>
  <si>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</si>
  <si>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</si>
  <si>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</si>
  <si>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</si>
  <si>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</si>
  <si>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</si>
  <si>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</si>
  <si>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</si>
  <si>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</si>
  <si>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</si>
  <si>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</si>
  <si>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</si>
  <si>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</si>
  <si>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</si>
  <si>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</si>
  <si>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</si>
  <si>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</si>
  <si>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</si>
  <si>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</si>
  <si>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</si>
  <si>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</si>
  <si>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</si>
  <si>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</si>
  <si>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</si>
  <si>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</si>
  <si>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</si>
  <si>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</si>
  <si>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</si>
  <si>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</si>
  <si>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</si>
  <si>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</si>
  <si>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</si>
  <si>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</si>
  <si>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</si>
  <si>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</si>
  <si>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</si>
  <si>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</si>
  <si>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</si>
  <si>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</si>
  <si>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</si>
  <si>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</si>
  <si>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</si>
  <si>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</si>
  <si>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</si>
  <si>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</si>
  <si>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</si>
  <si>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</si>
  <si>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</si>
  <si>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</si>
  <si>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</si>
  <si>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</si>
  <si>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</si>
  <si>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</si>
  <si>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</si>
  <si>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</si>
  <si>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</si>
  <si>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</si>
  <si>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</si>
  <si>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</si>
  <si>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</si>
  <si>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</si>
  <si>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</si>
  <si>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</si>
  <si>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</si>
  <si>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</si>
  <si>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</si>
  <si>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</si>
  <si>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</si>
  <si>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</si>
  <si>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</si>
  <si>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</si>
  <si>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</si>
  <si>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</si>
  <si>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</si>
  <si>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</si>
  <si>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</si>
  <si>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</si>
  <si>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</si>
  <si>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</si>
  <si>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</si>
  <si>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</si>
  <si>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</si>
  <si>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</si>
  <si>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</si>
  <si>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</si>
  <si>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</si>
  <si>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</si>
  <si>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</si>
  <si>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</si>
  <si>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</si>
  <si>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</si>
  <si>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</si>
  <si>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</si>
  <si>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</si>
  <si>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</si>
  <si>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</si>
  <si>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</si>
  <si>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</si>
  <si>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</si>
  <si>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</si>
  <si>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</si>
  <si>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</si>
  <si>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</si>
  <si>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</si>
  <si>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</si>
  <si>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</si>
  <si>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</si>
  <si>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</si>
  <si>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</si>
  <si>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</si>
  <si>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</si>
  <si>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</si>
  <si>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</si>
  <si>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</si>
  <si>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</si>
  <si>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</si>
  <si>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</si>
  <si>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</si>
  <si>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</si>
  <si>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</si>
  <si>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</si>
  <si>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</si>
  <si>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</si>
  <si>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</si>
  <si>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</si>
  <si>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</si>
  <si>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</si>
  <si>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</si>
  <si>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</si>
  <si>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</si>
  <si>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</si>
  <si>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</si>
  <si>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</si>
  <si>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</si>
  <si>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</si>
  <si>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</si>
  <si>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</si>
  <si>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</si>
  <si>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</si>
  <si>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</si>
  <si>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</si>
  <si>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</si>
  <si>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</si>
  <si>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</si>
  <si>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</si>
  <si>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</si>
  <si>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</si>
  <si>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</si>
  <si>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</si>
  <si>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</si>
  <si>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</si>
  <si>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</si>
  <si>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</si>
  <si>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</si>
  <si>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</si>
  <si>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</si>
  <si>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</si>
  <si>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</si>
  <si>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</si>
  <si>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</si>
  <si>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</si>
  <si>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</si>
  <si>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</si>
  <si>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</si>
  <si>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</si>
  <si>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</si>
  <si>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</si>
  <si>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</si>
  <si>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</si>
  <si>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</si>
  <si>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</si>
  <si>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</si>
  <si>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</si>
  <si>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</si>
  <si>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</si>
  <si>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</si>
  <si>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</si>
  <si>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</si>
  <si>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</si>
  <si>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</si>
  <si>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</si>
  <si>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</si>
  <si>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</si>
  <si>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</si>
  <si>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</si>
  <si>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</si>
  <si>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</si>
  <si>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</si>
  <si>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</si>
  <si>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</si>
  <si>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</si>
  <si>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</si>
  <si>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</si>
  <si>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</si>
  <si>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</si>
  <si>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</si>
  <si>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</si>
  <si>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</si>
  <si>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</si>
  <si>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</si>
  <si>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</si>
  <si>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</si>
  <si>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</si>
  <si>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</si>
  <si>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</si>
  <si>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</si>
  <si>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</si>
  <si>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</si>
  <si>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</si>
  <si>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</si>
  <si>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</si>
  <si>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</si>
  <si>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</si>
  <si>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</si>
  <si>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</si>
  <si>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</si>
  <si>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</si>
  <si>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</si>
  <si>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</si>
  <si>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</si>
  <si>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</si>
  <si>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</si>
  <si>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</si>
  <si>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</si>
  <si>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</si>
  <si>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</si>
  <si>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</si>
  <si>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</si>
  <si>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</si>
  <si>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</si>
  <si>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</si>
  <si>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</si>
  <si>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</si>
  <si>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</si>
  <si>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</si>
  <si>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</si>
  <si>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</si>
  <si>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</si>
  <si>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</si>
  <si>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</si>
  <si>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</si>
  <si>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</si>
  <si>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</si>
  <si>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</si>
  <si>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</si>
  <si>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</si>
  <si>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</si>
  <si>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</si>
  <si>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</si>
  <si>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</si>
  <si>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</si>
  <si>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</si>
  <si>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</si>
  <si>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</si>
  <si>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</si>
  <si>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</si>
  <si>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</si>
  <si>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</si>
  <si>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</si>
  <si>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</si>
  <si>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</si>
  <si>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</si>
  <si>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</si>
  <si>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</si>
  <si>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</si>
  <si>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</si>
  <si>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</si>
  <si>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</si>
  <si>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</si>
  <si>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</si>
  <si>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</si>
  <si>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</si>
  <si>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</si>
  <si>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</si>
  <si>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</si>
  <si>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</si>
  <si>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</si>
  <si>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</si>
  <si>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</si>
  <si>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</si>
  <si>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</si>
  <si>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</si>
  <si>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</si>
  <si>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</si>
  <si>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</si>
  <si>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</si>
  <si>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</si>
  <si>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</si>
  <si>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</si>
  <si>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</si>
  <si>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</si>
  <si>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</si>
  <si>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</si>
  <si>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</si>
  <si>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</si>
  <si>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</si>
  <si>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</si>
  <si>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</si>
  <si>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</si>
  <si>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</si>
  <si>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</si>
  <si>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</si>
  <si>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</si>
  <si>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</si>
  <si>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</si>
  <si>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</si>
  <si>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</si>
  <si>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</si>
  <si>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</si>
  <si>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</si>
  <si>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</si>
  <si>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</si>
  <si>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</si>
  <si>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</si>
  <si>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</si>
  <si>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</si>
  <si>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</si>
  <si>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</si>
  <si>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</si>
  <si>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</si>
  <si>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</si>
  <si>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</si>
  <si>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</si>
  <si>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</si>
  <si>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</si>
  <si>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</si>
  <si>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SIPS</t>
  </si>
  <si>
    <t>equivalent binary value</t>
  </si>
  <si>
    <t>System Integrity Protection Scheme (SIPS) real signal
The real signal will be converted into binary equivalent signal using the MTB SIPS Decoder blocks in PSCAD and PowerFactory</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</si>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</sst>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3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0" xfId="0" applyNumberFormat="1" applyFont="1" applyFill="1" applyBorder="1" applyAlignment="1" applyProtection="1"/>
    <xf numFmtId="0" fontId="3" fillId="0" borderId="50" xfId="0" applyNumberFormat="1" applyFont="1" applyFill="1" applyBorder="1" applyAlignment="1" applyProtection="1">
      <alignment vertical="center"/>
    </xf>
    <xf numFmtId="0" fontId="3" fillId="0" borderId="50" xfId="0" applyNumberFormat="1" applyFont="1" applyFill="1" applyBorder="1" applyAlignment="1" applyProtection="1">
      <alignment vertical="top" wrapText="1"/>
    </xf>
    <xf numFmtId="0" fontId="3" fillId="0" borderId="50" xfId="0" quotePrefix="1" applyNumberFormat="1" applyFont="1" applyFill="1" applyBorder="1" applyAlignment="1" applyProtection="1">
      <alignment vertical="center"/>
    </xf>
    <xf numFmtId="0" fontId="0" fillId="0" borderId="41" xfId="0" applyBorder="1" applyAlignment="1">
      <alignment horizontal="center"/>
    </xf>
    <xf numFmtId="0" fontId="13" fillId="0" borderId="18" xfId="0" applyFont="1" applyBorder="1" applyAlignment="1">
      <alignment horizontal="center"/>
    </xf>
    <xf numFmtId="0" fontId="0" fillId="0" borderId="0" xfId="0" applyAlignment="1">
      <alignment horizontal="center" vertical="center"/>
    </xf>
    <xf numFmtId="0" fontId="0" fillId="0" borderId="0" xfId="0" applyAlignment="1">
      <alignment horizontal="center" vertic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0" fontId="7" fillId="0" borderId="0" xfId="0" applyFont="1" applyFill="1" applyBorder="1" applyAlignment="1">
      <alignment horizontal="right" vertical="center"/>
    </xf>
    <xf numFmtId="9" fontId="1" fillId="8" borderId="1" xfId="2" applyFont="1" applyFill="1" applyBorder="1" applyAlignment="1">
      <alignment horizontal="right" vertical="center"/>
    </xf>
    <xf numFmtId="0" fontId="1" fillId="0" borderId="0" xfId="0" applyFont="1" applyFill="1" applyBorder="1" applyAlignment="1">
      <alignment horizontal="right" vertical="center"/>
    </xf>
    <xf numFmtId="0" fontId="0" fillId="0" borderId="0" xfId="0"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2" fillId="0" borderId="0" xfId="0" applyFont="1" applyBorder="1" applyAlignment="1">
      <alignment horizontal="center" vertical="center" wrapText="1"/>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0"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0" borderId="0" xfId="0" applyNumberFormat="1"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M49"/>
  <sheetViews>
    <sheetView zoomScaleNormal="100" workbookViewId="0">
      <selection activeCell="D43" sqref="D43"/>
    </sheetView>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4" t="s">
        <v>224</v>
      </c>
      <c r="B2" s="307" t="s">
        <v>214</v>
      </c>
      <c r="C2" s="249" t="s">
        <v>10</v>
      </c>
      <c r="D2" s="345"/>
    </row>
    <row r="3" spans="1:13" x14ac:dyDescent="0.25">
      <c r="A3" s="344" t="s">
        <v>237</v>
      </c>
      <c r="B3" s="307" t="b">
        <v>0</v>
      </c>
      <c r="C3" s="249" t="s">
        <v>10</v>
      </c>
      <c r="D3" s="250" t="s">
        <v>322</v>
      </c>
      <c r="G3" s="124"/>
      <c r="H3" s="396" t="s">
        <v>339</v>
      </c>
      <c r="I3" s="396"/>
      <c r="J3" s="396"/>
      <c r="K3" s="396" t="s">
        <v>340</v>
      </c>
      <c r="L3" s="396"/>
      <c r="M3" s="397"/>
    </row>
    <row r="4" spans="1:13" x14ac:dyDescent="0.25">
      <c r="A4" s="248" t="s">
        <v>1</v>
      </c>
      <c r="B4" s="247" t="s">
        <v>930</v>
      </c>
      <c r="C4" s="249" t="s">
        <v>10</v>
      </c>
      <c r="D4" s="346"/>
      <c r="G4" s="371" t="s">
        <v>481</v>
      </c>
      <c r="H4" s="123" t="s">
        <v>341</v>
      </c>
      <c r="I4" s="123" t="s">
        <v>342</v>
      </c>
      <c r="J4" s="123" t="s">
        <v>343</v>
      </c>
      <c r="K4" s="123" t="s">
        <v>344</v>
      </c>
      <c r="L4" s="123" t="s">
        <v>342</v>
      </c>
      <c r="M4" s="372" t="s">
        <v>345</v>
      </c>
    </row>
    <row r="5" spans="1:13" s="2" customFormat="1" x14ac:dyDescent="0.25">
      <c r="A5" s="347" t="s">
        <v>2</v>
      </c>
      <c r="B5" s="241">
        <v>200</v>
      </c>
      <c r="C5" s="348" t="s">
        <v>3</v>
      </c>
      <c r="D5" s="349"/>
      <c r="E5" s="13"/>
      <c r="G5" s="371"/>
      <c r="H5" s="123"/>
      <c r="I5" s="123"/>
      <c r="J5" s="123"/>
      <c r="K5" s="123"/>
      <c r="L5" s="123"/>
      <c r="M5" s="372"/>
    </row>
    <row r="6" spans="1:13" s="2" customFormat="1" ht="15.75" thickBot="1" x14ac:dyDescent="0.3">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25">
      <c r="A7" s="240" t="s">
        <v>865</v>
      </c>
      <c r="B7" s="246">
        <v>4</v>
      </c>
      <c r="C7" s="249" t="s">
        <v>10</v>
      </c>
      <c r="D7" s="244"/>
      <c r="E7" s="13"/>
      <c r="F7" s="4"/>
      <c r="G7" s="4"/>
      <c r="H7" s="4"/>
      <c r="I7" s="4"/>
      <c r="J7" s="4"/>
      <c r="K7" s="4"/>
    </row>
    <row r="8" spans="1:13" s="2" customFormat="1" x14ac:dyDescent="0.25">
      <c r="A8" s="350" t="s">
        <v>866</v>
      </c>
      <c r="B8" s="351">
        <v>200</v>
      </c>
      <c r="C8" s="352" t="s">
        <v>3</v>
      </c>
      <c r="D8" s="244" t="s">
        <v>867</v>
      </c>
      <c r="E8" s="13"/>
      <c r="F8" s="4"/>
      <c r="G8" s="4"/>
      <c r="H8" s="4"/>
      <c r="I8" s="4"/>
      <c r="J8" s="4"/>
      <c r="K8" s="4"/>
    </row>
    <row r="9" spans="1:13" s="2" customFormat="1" ht="15.75" thickBot="1" x14ac:dyDescent="0.3">
      <c r="A9" s="350" t="s">
        <v>868</v>
      </c>
      <c r="B9" s="351">
        <v>-100</v>
      </c>
      <c r="C9" s="352" t="s">
        <v>3</v>
      </c>
      <c r="D9" s="244" t="s">
        <v>869</v>
      </c>
      <c r="E9" s="13"/>
      <c r="F9" s="4"/>
      <c r="G9" s="4"/>
      <c r="H9" s="4"/>
      <c r="I9" s="4"/>
      <c r="J9" s="4"/>
      <c r="K9" s="4"/>
    </row>
    <row r="10" spans="1:13" s="2" customFormat="1" x14ac:dyDescent="0.25">
      <c r="A10" s="361" t="s">
        <v>908</v>
      </c>
      <c r="B10" s="362" t="s">
        <v>870</v>
      </c>
      <c r="C10" s="363"/>
      <c r="D10" s="356"/>
      <c r="E10" s="13"/>
    </row>
    <row r="11" spans="1:13" s="2" customFormat="1" x14ac:dyDescent="0.25">
      <c r="A11" s="364" t="s">
        <v>876</v>
      </c>
      <c r="B11" s="365">
        <v>250</v>
      </c>
      <c r="C11" s="366" t="s">
        <v>3</v>
      </c>
      <c r="D11" s="244" t="s">
        <v>871</v>
      </c>
      <c r="E11" s="13"/>
    </row>
    <row r="12" spans="1:13" s="2" customFormat="1" x14ac:dyDescent="0.25">
      <c r="A12" s="364" t="s">
        <v>877</v>
      </c>
      <c r="B12" s="365">
        <v>1</v>
      </c>
      <c r="C12" s="366" t="s">
        <v>139</v>
      </c>
      <c r="D12" s="244" t="s">
        <v>872</v>
      </c>
      <c r="E12" s="13"/>
    </row>
    <row r="13" spans="1:13" s="2" customFormat="1" ht="15.75" thickBot="1" x14ac:dyDescent="0.3">
      <c r="A13" s="367" t="s">
        <v>884</v>
      </c>
      <c r="B13" s="368">
        <v>0</v>
      </c>
      <c r="C13" s="369" t="s">
        <v>3</v>
      </c>
      <c r="D13" s="244" t="s">
        <v>873</v>
      </c>
      <c r="E13" s="13"/>
    </row>
    <row r="14" spans="1:13" s="2" customFormat="1" x14ac:dyDescent="0.25">
      <c r="A14" s="353" t="s">
        <v>909</v>
      </c>
      <c r="B14" s="354" t="s">
        <v>874</v>
      </c>
      <c r="C14" s="355"/>
      <c r="D14" s="356"/>
      <c r="E14" s="13"/>
      <c r="F14" s="4"/>
    </row>
    <row r="15" spans="1:13" s="2" customFormat="1" x14ac:dyDescent="0.25">
      <c r="A15" s="350" t="s">
        <v>878</v>
      </c>
      <c r="B15" s="351">
        <v>100</v>
      </c>
      <c r="C15" s="357" t="s">
        <v>3</v>
      </c>
      <c r="D15" s="244" t="s">
        <v>871</v>
      </c>
      <c r="E15" s="13"/>
      <c r="F15" s="4"/>
    </row>
    <row r="16" spans="1:13" s="2" customFormat="1" x14ac:dyDescent="0.25">
      <c r="A16" s="350" t="s">
        <v>879</v>
      </c>
      <c r="B16" s="351">
        <v>0.5</v>
      </c>
      <c r="C16" s="357" t="s">
        <v>139</v>
      </c>
      <c r="D16" s="244" t="s">
        <v>872</v>
      </c>
      <c r="E16" s="13"/>
      <c r="F16" s="4"/>
    </row>
    <row r="17" spans="1:11" s="2" customFormat="1" ht="15.75" thickBot="1" x14ac:dyDescent="0.3">
      <c r="A17" s="358" t="s">
        <v>885</v>
      </c>
      <c r="B17" s="359">
        <v>-100</v>
      </c>
      <c r="C17" s="360" t="s">
        <v>3</v>
      </c>
      <c r="D17" s="244" t="s">
        <v>873</v>
      </c>
      <c r="E17" s="13"/>
      <c r="F17" s="4"/>
    </row>
    <row r="18" spans="1:11" s="2" customFormat="1" x14ac:dyDescent="0.25">
      <c r="A18" s="361" t="s">
        <v>910</v>
      </c>
      <c r="B18" s="362" t="s">
        <v>875</v>
      </c>
      <c r="C18" s="363"/>
      <c r="D18" s="356"/>
      <c r="E18" s="13"/>
      <c r="F18" s="4"/>
      <c r="G18" s="4"/>
      <c r="H18" s="4"/>
      <c r="I18" s="4"/>
      <c r="J18" s="4"/>
      <c r="K18" s="4"/>
    </row>
    <row r="19" spans="1:11" s="2" customFormat="1" x14ac:dyDescent="0.25">
      <c r="A19" s="364" t="s">
        <v>880</v>
      </c>
      <c r="B19" s="365">
        <v>0</v>
      </c>
      <c r="C19" s="366" t="s">
        <v>3</v>
      </c>
      <c r="D19" s="244" t="s">
        <v>871</v>
      </c>
      <c r="E19" s="13"/>
      <c r="F19" s="4"/>
      <c r="G19" s="4"/>
      <c r="H19" s="4"/>
      <c r="I19" s="4"/>
      <c r="J19" s="4"/>
      <c r="K19" s="4"/>
    </row>
    <row r="20" spans="1:11" s="2" customFormat="1" x14ac:dyDescent="0.25">
      <c r="A20" s="364" t="s">
        <v>881</v>
      </c>
      <c r="B20" s="365">
        <v>1</v>
      </c>
      <c r="C20" s="366" t="s">
        <v>139</v>
      </c>
      <c r="D20" s="244" t="s">
        <v>872</v>
      </c>
      <c r="E20" s="13"/>
      <c r="F20" s="4"/>
      <c r="G20" s="4"/>
      <c r="H20" s="4"/>
      <c r="I20" s="4"/>
      <c r="J20" s="4"/>
      <c r="K20" s="4"/>
    </row>
    <row r="21" spans="1:11" s="2" customFormat="1" ht="15.75" thickBot="1" x14ac:dyDescent="0.3">
      <c r="A21" s="367" t="s">
        <v>886</v>
      </c>
      <c r="B21" s="368">
        <v>-10</v>
      </c>
      <c r="C21" s="369" t="s">
        <v>3</v>
      </c>
      <c r="D21" s="244" t="s">
        <v>873</v>
      </c>
      <c r="E21" s="13"/>
      <c r="F21" s="4"/>
      <c r="G21" s="4"/>
      <c r="H21" s="4"/>
      <c r="I21" s="4"/>
      <c r="J21" s="4"/>
      <c r="K21" s="4"/>
    </row>
    <row r="22" spans="1:11" s="2" customFormat="1" x14ac:dyDescent="0.25">
      <c r="A22" s="353" t="s">
        <v>911</v>
      </c>
      <c r="B22" s="354" t="s">
        <v>870</v>
      </c>
      <c r="C22" s="355"/>
      <c r="D22" s="356"/>
      <c r="E22" s="13"/>
      <c r="F22" s="4"/>
      <c r="G22" s="4"/>
      <c r="H22" s="4"/>
      <c r="I22" s="4"/>
      <c r="J22" s="4"/>
      <c r="K22" s="4"/>
    </row>
    <row r="23" spans="1:11" s="2" customFormat="1" x14ac:dyDescent="0.25">
      <c r="A23" s="350" t="s">
        <v>882</v>
      </c>
      <c r="B23" s="351">
        <v>10</v>
      </c>
      <c r="C23" s="357" t="s">
        <v>3</v>
      </c>
      <c r="D23" s="244" t="s">
        <v>871</v>
      </c>
      <c r="E23" s="13"/>
      <c r="F23" s="4"/>
      <c r="G23" s="4"/>
      <c r="H23" s="4"/>
      <c r="I23" s="4"/>
      <c r="J23" s="4"/>
      <c r="K23" s="4"/>
    </row>
    <row r="24" spans="1:11" s="2" customFormat="1" x14ac:dyDescent="0.25">
      <c r="A24" s="350" t="s">
        <v>883</v>
      </c>
      <c r="B24" s="351">
        <v>1</v>
      </c>
      <c r="C24" s="357" t="s">
        <v>139</v>
      </c>
      <c r="D24" s="244" t="s">
        <v>872</v>
      </c>
      <c r="E24" s="13"/>
      <c r="F24" s="4"/>
      <c r="G24" s="4"/>
      <c r="H24" s="4"/>
      <c r="I24" s="4"/>
      <c r="J24" s="4"/>
      <c r="K24" s="4"/>
    </row>
    <row r="25" spans="1:11" s="2" customFormat="1" ht="15.75" thickBot="1" x14ac:dyDescent="0.3">
      <c r="A25" s="358" t="s">
        <v>887</v>
      </c>
      <c r="B25" s="359">
        <v>0</v>
      </c>
      <c r="C25" s="360" t="s">
        <v>3</v>
      </c>
      <c r="D25" s="244" t="s">
        <v>873</v>
      </c>
      <c r="E25" s="13"/>
      <c r="F25" s="4"/>
      <c r="G25" s="4"/>
      <c r="H25" s="4"/>
      <c r="I25" s="4"/>
      <c r="J25" s="4"/>
      <c r="K25" s="4"/>
    </row>
    <row r="26" spans="1:11" x14ac:dyDescent="0.25">
      <c r="A26" s="347" t="s">
        <v>4</v>
      </c>
      <c r="B26" s="241">
        <v>161.9</v>
      </c>
      <c r="C26" s="370" t="s">
        <v>5</v>
      </c>
      <c r="D26" s="250" t="s">
        <v>326</v>
      </c>
    </row>
    <row r="27" spans="1:11" x14ac:dyDescent="0.25">
      <c r="A27" s="248" t="s">
        <v>6</v>
      </c>
      <c r="B27" s="241">
        <v>152</v>
      </c>
      <c r="C27" s="370" t="s">
        <v>5</v>
      </c>
      <c r="D27" s="250" t="s">
        <v>325</v>
      </c>
    </row>
    <row r="28" spans="1:11" x14ac:dyDescent="0.25">
      <c r="A28" s="248" t="s">
        <v>7</v>
      </c>
      <c r="B28" s="247" t="s">
        <v>8</v>
      </c>
      <c r="C28" s="370"/>
      <c r="D28" s="346"/>
    </row>
    <row r="29" spans="1:11" x14ac:dyDescent="0.25">
      <c r="A29" s="248" t="s">
        <v>489</v>
      </c>
      <c r="B29" s="241">
        <v>0</v>
      </c>
      <c r="C29" s="370" t="s">
        <v>150</v>
      </c>
      <c r="D29" s="250" t="s">
        <v>492</v>
      </c>
    </row>
    <row r="30" spans="1:11" x14ac:dyDescent="0.25">
      <c r="A30" s="248" t="s">
        <v>479</v>
      </c>
      <c r="B30" s="245">
        <v>6</v>
      </c>
      <c r="C30" s="370" t="s">
        <v>13</v>
      </c>
      <c r="D30" s="346"/>
    </row>
    <row r="31" spans="1:11" x14ac:dyDescent="0.25">
      <c r="A31" s="248" t="s">
        <v>9</v>
      </c>
      <c r="B31" s="245">
        <v>10</v>
      </c>
      <c r="C31" s="249" t="s">
        <v>10</v>
      </c>
      <c r="D31" s="346"/>
    </row>
    <row r="32" spans="1:11" x14ac:dyDescent="0.25">
      <c r="A32" s="248" t="s">
        <v>11</v>
      </c>
      <c r="B32" s="245">
        <v>20</v>
      </c>
      <c r="C32" s="249" t="s">
        <v>10</v>
      </c>
      <c r="D32" s="346"/>
    </row>
    <row r="33" spans="1:8" x14ac:dyDescent="0.25">
      <c r="A33" s="248" t="s">
        <v>12</v>
      </c>
      <c r="B33" s="245">
        <v>30</v>
      </c>
      <c r="C33" s="249" t="s">
        <v>10</v>
      </c>
      <c r="D33" s="346"/>
    </row>
    <row r="34" spans="1:8" x14ac:dyDescent="0.25">
      <c r="A34" s="248" t="s">
        <v>544</v>
      </c>
      <c r="B34" s="245">
        <v>4</v>
      </c>
      <c r="C34" s="249" t="s">
        <v>13</v>
      </c>
      <c r="D34" s="346"/>
    </row>
    <row r="35" spans="1:8" x14ac:dyDescent="0.25">
      <c r="A35" s="248" t="s">
        <v>14</v>
      </c>
      <c r="B35" s="241">
        <v>10</v>
      </c>
      <c r="C35" s="249" t="s">
        <v>10</v>
      </c>
      <c r="D35" s="346"/>
      <c r="F35" s="144"/>
      <c r="G35" s="144"/>
      <c r="H35" s="144"/>
    </row>
    <row r="36" spans="1:8" x14ac:dyDescent="0.25">
      <c r="A36" s="248" t="s">
        <v>15</v>
      </c>
      <c r="B36" s="241">
        <v>15</v>
      </c>
      <c r="C36" s="249" t="s">
        <v>10</v>
      </c>
      <c r="D36" s="346"/>
      <c r="F36" s="14"/>
      <c r="G36" s="14"/>
      <c r="H36" s="14"/>
    </row>
    <row r="37" spans="1:8" x14ac:dyDescent="0.25">
      <c r="A37" s="248" t="s">
        <v>16</v>
      </c>
      <c r="B37" s="241">
        <v>20</v>
      </c>
      <c r="C37" s="249" t="s">
        <v>10</v>
      </c>
      <c r="D37" s="346"/>
      <c r="F37" s="14"/>
      <c r="G37" s="14"/>
      <c r="H37" s="14"/>
    </row>
    <row r="38" spans="1:8" x14ac:dyDescent="0.25">
      <c r="A38" s="248" t="s">
        <v>725</v>
      </c>
      <c r="B38" s="307" t="b">
        <v>0</v>
      </c>
      <c r="C38" s="249" t="s">
        <v>10</v>
      </c>
      <c r="D38" s="250" t="s">
        <v>724</v>
      </c>
      <c r="F38" s="14"/>
      <c r="G38" s="14"/>
      <c r="H38" s="14"/>
    </row>
    <row r="39" spans="1:8" x14ac:dyDescent="0.25">
      <c r="A39" s="248" t="s">
        <v>17</v>
      </c>
      <c r="B39" s="241">
        <v>0</v>
      </c>
      <c r="C39" s="249" t="s">
        <v>18</v>
      </c>
      <c r="D39" s="250" t="s">
        <v>327</v>
      </c>
      <c r="F39" s="14"/>
      <c r="G39" s="14"/>
      <c r="H39" s="14"/>
    </row>
    <row r="40" spans="1:8" x14ac:dyDescent="0.25">
      <c r="A40" s="248" t="s">
        <v>19</v>
      </c>
      <c r="B40" s="241">
        <v>0</v>
      </c>
      <c r="C40" s="249" t="s">
        <v>18</v>
      </c>
      <c r="D40" s="250" t="s">
        <v>327</v>
      </c>
      <c r="F40" s="14"/>
      <c r="G40" s="14"/>
      <c r="H40" s="14"/>
    </row>
    <row r="41" spans="1:8" x14ac:dyDescent="0.25">
      <c r="A41" s="248" t="s">
        <v>20</v>
      </c>
      <c r="B41" s="241" t="s">
        <v>110</v>
      </c>
      <c r="C41" s="249" t="s">
        <v>10</v>
      </c>
      <c r="D41" s="250" t="s">
        <v>22</v>
      </c>
      <c r="F41" s="14"/>
      <c r="G41" s="14"/>
      <c r="H41" s="14"/>
    </row>
    <row r="42" spans="1:8" x14ac:dyDescent="0.25">
      <c r="A42" s="248" t="s">
        <v>23</v>
      </c>
      <c r="B42" s="246">
        <v>10</v>
      </c>
      <c r="C42" s="370" t="s">
        <v>24</v>
      </c>
      <c r="D42" s="346"/>
    </row>
    <row r="43" spans="1:8" x14ac:dyDescent="0.25">
      <c r="A43" s="248" t="s">
        <v>25</v>
      </c>
      <c r="B43" s="247">
        <v>3.55</v>
      </c>
      <c r="C43" s="370" t="s">
        <v>26</v>
      </c>
      <c r="D43" s="250" t="s">
        <v>323</v>
      </c>
    </row>
    <row r="44" spans="1:8" x14ac:dyDescent="0.25">
      <c r="A44" s="248" t="s">
        <v>28</v>
      </c>
      <c r="B44" s="247">
        <v>0.15</v>
      </c>
      <c r="C44" s="370" t="s">
        <v>26</v>
      </c>
      <c r="D44" s="250" t="s">
        <v>324</v>
      </c>
    </row>
    <row r="45" spans="1:8" x14ac:dyDescent="0.25">
      <c r="A45" s="248" t="s">
        <v>29</v>
      </c>
      <c r="B45" s="307" t="b">
        <v>1</v>
      </c>
      <c r="C45" s="249" t="s">
        <v>10</v>
      </c>
      <c r="D45" s="346"/>
    </row>
    <row r="46" spans="1:8" x14ac:dyDescent="0.25">
      <c r="A46" s="248" t="s">
        <v>30</v>
      </c>
      <c r="B46" s="307" t="b">
        <v>0</v>
      </c>
      <c r="C46" s="249" t="s">
        <v>10</v>
      </c>
      <c r="D46" s="346"/>
    </row>
    <row r="47" spans="1:8" x14ac:dyDescent="0.25">
      <c r="A47" s="248" t="s">
        <v>31</v>
      </c>
      <c r="B47" s="307" t="b">
        <v>0</v>
      </c>
      <c r="C47" s="249" t="s">
        <v>10</v>
      </c>
      <c r="D47" s="346"/>
    </row>
    <row r="48" spans="1:8" x14ac:dyDescent="0.25">
      <c r="A48" s="248" t="s">
        <v>32</v>
      </c>
      <c r="B48" s="307" t="b">
        <v>1</v>
      </c>
      <c r="C48" s="249" t="s">
        <v>10</v>
      </c>
      <c r="D48" s="250" t="s">
        <v>33</v>
      </c>
    </row>
    <row r="49" spans="1:4" ht="15.75" thickBot="1" x14ac:dyDescent="0.3">
      <c r="A49" s="373" t="s">
        <v>34</v>
      </c>
      <c r="B49" s="386"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formula1>"Generation,Energy Storage,Demand"</formula1>
    </dataValidation>
    <dataValidation type="list" allowBlank="1" showInputMessage="1" showErrorMessage="1" sqref="B7">
      <formula1>"1,2,3,4"</formula1>
    </dataValidation>
    <dataValidation type="decimal" showInputMessage="1" showErrorMessage="1" sqref="B43">
      <formula1>1</formula1>
      <formula2>99999999</formula2>
    </dataValidation>
    <dataValidation type="decimal" allowBlank="1" showInputMessage="1" showErrorMessage="1" sqref="B4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14:formula1>
            <xm:f>'Area values'!$K$2:$K$6</xm:f>
          </x14:formula1>
          <xm:sqref>B2</xm:sqref>
        </x14:dataValidation>
        <x14:dataValidation type="list" allowBlank="1" showInputMessage="1" showErrorMessage="1">
          <x14:formula1>
            <xm:f>'Area values'!$L$2:$L$3</xm:f>
          </x14:formula1>
          <xm:sqref>B3 B45:B49 B38</xm:sqref>
        </x14:dataValidation>
        <x14:dataValidation type="list" allowBlank="1" showInputMessage="1" showErrorMessage="1">
          <x14:formula1>
            <xm:f>'Area values'!$K$7:$K$8</xm:f>
          </x14:formula1>
          <xm:sqref>B28</xm:sqref>
        </x14:dataValidation>
        <x14:dataValidation type="list" allowBlank="1" showInputMessage="1" showErrorMessage="1">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9"/>
  <sheetViews>
    <sheetView zoomScale="120" zoomScaleNormal="120" workbookViewId="0">
      <selection activeCell="L20" sqref="L20"/>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98" t="s">
        <v>8</v>
      </c>
      <c r="C1" s="399"/>
      <c r="D1" s="400"/>
      <c r="E1" s="398" t="s">
        <v>35</v>
      </c>
      <c r="F1" s="399"/>
      <c r="G1" s="399"/>
      <c r="H1" s="309"/>
      <c r="K1" s="401" t="s">
        <v>836</v>
      </c>
      <c r="L1" s="402"/>
    </row>
    <row r="2" spans="1:15" x14ac:dyDescent="0.25">
      <c r="A2" s="61" t="s">
        <v>6</v>
      </c>
      <c r="B2" s="62" t="s">
        <v>36</v>
      </c>
      <c r="C2" s="63" t="s">
        <v>37</v>
      </c>
      <c r="D2" s="64" t="s">
        <v>38</v>
      </c>
      <c r="E2" s="62" t="s">
        <v>36</v>
      </c>
      <c r="F2" s="63" t="s">
        <v>37</v>
      </c>
      <c r="G2" s="63" t="s">
        <v>38</v>
      </c>
      <c r="H2" s="65" t="s">
        <v>39</v>
      </c>
      <c r="K2" s="311" t="s">
        <v>214</v>
      </c>
      <c r="L2" s="387" t="b">
        <v>1</v>
      </c>
    </row>
    <row r="3" spans="1:15" x14ac:dyDescent="0.25">
      <c r="A3" s="28" t="s">
        <v>40</v>
      </c>
      <c r="B3" s="38"/>
      <c r="C3" s="29"/>
      <c r="D3" s="41"/>
      <c r="E3" s="38"/>
      <c r="F3" s="29"/>
      <c r="G3" s="29"/>
      <c r="H3" s="34"/>
      <c r="K3" s="312" t="s">
        <v>215</v>
      </c>
      <c r="L3" s="310"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25">
      <c r="A5" s="30" t="s">
        <v>42</v>
      </c>
      <c r="B5" s="39">
        <v>5</v>
      </c>
      <c r="C5">
        <v>5</v>
      </c>
      <c r="D5" s="42">
        <v>5</v>
      </c>
      <c r="E5" s="39">
        <v>4</v>
      </c>
      <c r="F5">
        <v>4</v>
      </c>
      <c r="G5">
        <v>4</v>
      </c>
      <c r="H5" s="35">
        <f t="shared" si="0"/>
        <v>5</v>
      </c>
      <c r="K5" s="312" t="s">
        <v>837</v>
      </c>
      <c r="L5" s="310" t="s">
        <v>110</v>
      </c>
    </row>
    <row r="6" spans="1:15" x14ac:dyDescent="0.25">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25">
      <c r="A7" s="30" t="s">
        <v>44</v>
      </c>
      <c r="B7" s="39">
        <v>5</v>
      </c>
      <c r="C7">
        <v>5</v>
      </c>
      <c r="D7" s="42">
        <v>5</v>
      </c>
      <c r="E7" s="39">
        <v>4</v>
      </c>
      <c r="F7">
        <v>4</v>
      </c>
      <c r="G7">
        <v>4</v>
      </c>
      <c r="H7" s="35">
        <f t="shared" si="0"/>
        <v>5</v>
      </c>
      <c r="K7" s="312" t="s">
        <v>8</v>
      </c>
      <c r="L7" s="277"/>
    </row>
    <row r="8" spans="1:15" x14ac:dyDescent="0.25">
      <c r="A8" s="30" t="s">
        <v>45</v>
      </c>
      <c r="B8" s="39">
        <v>0</v>
      </c>
      <c r="C8">
        <v>0</v>
      </c>
      <c r="D8" s="42">
        <v>0</v>
      </c>
      <c r="E8" s="39">
        <v>0</v>
      </c>
      <c r="F8">
        <v>0</v>
      </c>
      <c r="G8">
        <v>0</v>
      </c>
      <c r="H8" s="35">
        <f t="shared" si="0"/>
        <v>0</v>
      </c>
      <c r="K8" s="313" t="s">
        <v>35</v>
      </c>
      <c r="L8" s="56"/>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tabSelected="1" zoomScaleNormal="100" workbookViewId="0">
      <pane ySplit="2" topLeftCell="A153" activePane="bottomLeft" state="frozen"/>
      <selection pane="bottomLeft" activeCell="O184" sqref="O184"/>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404" t="s">
        <v>490</v>
      </c>
      <c r="B1" s="404"/>
      <c r="C1" s="404"/>
      <c r="D1" s="404"/>
      <c r="E1" s="405" t="s">
        <v>491</v>
      </c>
      <c r="F1" s="406"/>
      <c r="G1" s="406"/>
      <c r="H1" s="406"/>
      <c r="I1" s="406"/>
      <c r="J1" s="406"/>
      <c r="K1" s="406"/>
      <c r="L1" s="406"/>
      <c r="M1" s="406"/>
      <c r="N1" s="406"/>
      <c r="O1" s="407"/>
      <c r="P1" s="403" t="s">
        <v>77</v>
      </c>
      <c r="Q1" s="403"/>
      <c r="R1" s="403"/>
      <c r="S1" s="403"/>
      <c r="T1" s="404" t="s">
        <v>78</v>
      </c>
      <c r="U1" s="404"/>
      <c r="V1" s="404"/>
      <c r="W1" s="404"/>
      <c r="X1" s="403" t="s">
        <v>79</v>
      </c>
      <c r="Y1" s="403"/>
      <c r="Z1" s="403"/>
      <c r="AA1" s="403"/>
      <c r="AB1" s="404" t="s">
        <v>80</v>
      </c>
      <c r="AC1" s="404"/>
      <c r="AD1" s="404"/>
      <c r="AE1" s="404"/>
      <c r="AF1" s="403" t="s">
        <v>81</v>
      </c>
      <c r="AG1" s="403"/>
      <c r="AH1" s="403"/>
      <c r="AI1" s="403"/>
      <c r="AJ1" s="404" t="s">
        <v>82</v>
      </c>
      <c r="AK1" s="404"/>
      <c r="AL1" s="404"/>
      <c r="AM1" s="404"/>
      <c r="AN1" s="403" t="s">
        <v>83</v>
      </c>
      <c r="AO1" s="403"/>
      <c r="AP1" s="403"/>
      <c r="AQ1" s="403"/>
      <c r="AR1" s="404" t="s">
        <v>84</v>
      </c>
      <c r="AS1" s="404"/>
      <c r="AT1" s="404"/>
      <c r="AU1" s="404"/>
      <c r="AV1" s="403" t="s">
        <v>85</v>
      </c>
      <c r="AW1" s="403"/>
      <c r="AX1" s="403"/>
      <c r="AY1" s="403"/>
      <c r="AZ1" s="404" t="s">
        <v>86</v>
      </c>
      <c r="BA1" s="404"/>
      <c r="BB1" s="404"/>
      <c r="BC1" s="404"/>
      <c r="BD1" s="403" t="s">
        <v>87</v>
      </c>
      <c r="BE1" s="403"/>
      <c r="BF1" s="403"/>
      <c r="BG1" s="403"/>
      <c r="BH1" s="404" t="s">
        <v>88</v>
      </c>
      <c r="BI1" s="404"/>
      <c r="BJ1" s="404"/>
      <c r="BK1" s="404"/>
      <c r="BL1" s="403" t="s">
        <v>495</v>
      </c>
      <c r="BM1" s="403"/>
      <c r="BN1" s="403"/>
      <c r="BO1" s="403"/>
    </row>
    <row r="2" spans="1:67" s="11" customFormat="1" ht="30" customHeight="1" x14ac:dyDescent="0.25">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389" t="b">
        <v>1</v>
      </c>
      <c r="C14" s="395"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389" t="b">
        <v>1</v>
      </c>
      <c r="C15" s="395"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389" t="b">
        <v>1</v>
      </c>
      <c r="C16" s="395"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389" t="b">
        <v>1</v>
      </c>
      <c r="C17" s="395"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389" t="b">
        <v>1</v>
      </c>
      <c r="C19" s="395"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389" t="b">
        <v>1</v>
      </c>
      <c r="C21" s="395"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389" t="b">
        <v>1</v>
      </c>
      <c r="C22" s="395"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389" t="b">
        <v>1</v>
      </c>
      <c r="C23" s="395"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389" t="b">
        <v>1</v>
      </c>
      <c r="C24" s="395"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389" t="b">
        <v>1</v>
      </c>
      <c r="C25" s="395"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389" t="b">
        <v>1</v>
      </c>
      <c r="C26" s="395"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389" t="b">
        <v>1</v>
      </c>
      <c r="C27" s="395"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389" t="b">
        <v>1</v>
      </c>
      <c r="C30" s="395"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389" t="b">
        <v>1</v>
      </c>
      <c r="C32" s="395"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389" t="b">
        <v>1</v>
      </c>
      <c r="C33" s="395"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389" t="b">
        <v>1</v>
      </c>
      <c r="C34" s="395"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389" t="b">
        <v>1</v>
      </c>
      <c r="C36" s="395"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389" t="b">
        <v>1</v>
      </c>
      <c r="C38" s="395"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389" t="b">
        <v>1</v>
      </c>
      <c r="C55" s="395"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389" t="b">
        <v>1</v>
      </c>
      <c r="C56" s="395"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389" t="b">
        <v>1</v>
      </c>
      <c r="C57" s="395"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389" t="b">
        <v>1</v>
      </c>
      <c r="C58" s="395"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728</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920</v>
      </c>
      <c r="Q59" s="89">
        <v>-1</v>
      </c>
      <c r="R59" s="89">
        <v>0</v>
      </c>
      <c r="S59" s="436"/>
      <c r="T59" s="433" t="s">
        <v>920</v>
      </c>
      <c r="U59" s="433">
        <v>1</v>
      </c>
      <c r="V59" s="433">
        <v>3</v>
      </c>
      <c r="W59" s="433"/>
      <c r="X59" s="434" t="s">
        <v>920</v>
      </c>
      <c r="Y59" s="434">
        <v>16</v>
      </c>
      <c r="Z59" s="434">
        <v>5</v>
      </c>
      <c r="AA59" s="434"/>
      <c r="AB59" s="433" t="s">
        <v>920</v>
      </c>
      <c r="AC59" s="433">
        <v>31</v>
      </c>
      <c r="AD59" s="433">
        <v>9</v>
      </c>
      <c r="AE59" s="433"/>
      <c r="AF59" s="434" t="s">
        <v>920</v>
      </c>
      <c r="AG59" s="434">
        <v>46</v>
      </c>
      <c r="AH59" s="434">
        <v>17</v>
      </c>
      <c r="AI59" s="434"/>
      <c r="AJ59" s="433" t="s">
        <v>920</v>
      </c>
      <c r="AK59" s="433">
        <v>61</v>
      </c>
      <c r="AL59" s="433">
        <v>33</v>
      </c>
      <c r="AM59" s="433"/>
      <c r="AN59" s="434" t="s">
        <v>920</v>
      </c>
      <c r="AO59" s="434">
        <v>76</v>
      </c>
      <c r="AP59" s="434">
        <v>0</v>
      </c>
      <c r="AQ59" s="435"/>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729</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920</v>
      </c>
      <c r="Q60" s="89">
        <v>-1</v>
      </c>
      <c r="R60" s="89">
        <v>0</v>
      </c>
      <c r="S60" s="436"/>
      <c r="T60" s="433" t="s">
        <v>920</v>
      </c>
      <c r="U60" s="433">
        <v>1</v>
      </c>
      <c r="V60" s="433">
        <v>3</v>
      </c>
      <c r="W60" s="433"/>
      <c r="X60" s="434" t="s">
        <v>920</v>
      </c>
      <c r="Y60" s="434">
        <v>16</v>
      </c>
      <c r="Z60" s="434">
        <v>5</v>
      </c>
      <c r="AA60" s="434"/>
      <c r="AB60" s="433" t="s">
        <v>920</v>
      </c>
      <c r="AC60" s="433">
        <v>31</v>
      </c>
      <c r="AD60" s="433">
        <v>9</v>
      </c>
      <c r="AE60" s="433"/>
      <c r="AF60" s="434" t="s">
        <v>920</v>
      </c>
      <c r="AG60" s="434">
        <v>46</v>
      </c>
      <c r="AH60" s="434">
        <v>17</v>
      </c>
      <c r="AI60" s="434"/>
      <c r="AJ60" s="433" t="s">
        <v>920</v>
      </c>
      <c r="AK60" s="433">
        <v>61</v>
      </c>
      <c r="AL60" s="433">
        <v>33</v>
      </c>
      <c r="AM60" s="433"/>
      <c r="AN60" s="434" t="s">
        <v>920</v>
      </c>
      <c r="AO60" s="434">
        <v>76</v>
      </c>
      <c r="AP60" s="434">
        <v>0</v>
      </c>
      <c r="AQ60" s="435"/>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730</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920</v>
      </c>
      <c r="Q61" s="89">
        <v>-1</v>
      </c>
      <c r="R61" s="89">
        <v>0</v>
      </c>
      <c r="S61" s="436"/>
      <c r="T61" s="433" t="s">
        <v>115</v>
      </c>
      <c r="U61" s="433">
        <v>1</v>
      </c>
      <c r="V61" s="432">
        <v>0.2</v>
      </c>
      <c r="W61" s="433">
        <v>0.45</v>
      </c>
      <c r="X61" s="434" t="s">
        <v>920</v>
      </c>
      <c r="Y61" s="434">
        <f>U61+W61+0.2</f>
        <v>1.65</v>
      </c>
      <c r="Z61" s="434">
        <v>17</v>
      </c>
      <c r="AA61" s="434"/>
      <c r="AB61" s="433" t="s">
        <v>920</v>
      </c>
      <c r="AC61" s="433">
        <v>30</v>
      </c>
      <c r="AD61" s="433">
        <v>0</v>
      </c>
      <c r="AE61" s="433"/>
      <c r="AF61" s="434"/>
      <c r="AG61" s="434"/>
      <c r="AH61" s="434"/>
      <c r="AI61" s="434"/>
      <c r="AJ61" s="433"/>
      <c r="AK61" s="433"/>
      <c r="AL61" s="433"/>
      <c r="AM61" s="433"/>
      <c r="AN61" s="434"/>
      <c r="AO61" s="434"/>
      <c r="AP61" s="434"/>
      <c r="AQ61" s="435"/>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389" t="b">
        <v>1</v>
      </c>
      <c r="C62" s="395"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389" t="b">
        <v>1</v>
      </c>
      <c r="C63" s="395"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389" t="b">
        <v>1</v>
      </c>
      <c r="C64" s="395"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389" t="b">
        <v>1</v>
      </c>
      <c r="C65" s="395"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389" t="b">
        <v>1</v>
      </c>
      <c r="C66" s="395"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389" t="b">
        <v>1</v>
      </c>
      <c r="C67" s="395"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389" t="b">
        <v>1</v>
      </c>
      <c r="C68" s="395"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389" t="b">
        <v>1</v>
      </c>
      <c r="C69" s="395"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389" t="b">
        <v>1</v>
      </c>
      <c r="C72" s="395"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389" t="b">
        <v>1</v>
      </c>
      <c r="C73" s="395"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389" t="b">
        <v>1</v>
      </c>
      <c r="C74" s="395"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389" t="b">
        <v>1</v>
      </c>
      <c r="C75" s="395"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389" t="b">
        <v>1</v>
      </c>
      <c r="C76" s="395"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389" t="b">
        <v>1</v>
      </c>
      <c r="C77" s="395"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389" t="b">
        <v>1</v>
      </c>
      <c r="C78" s="395"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389" t="b">
        <v>1</v>
      </c>
      <c r="C79" s="395"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389" t="b">
        <v>1</v>
      </c>
      <c r="C80" s="395"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389" t="b">
        <v>1</v>
      </c>
      <c r="C81" s="395"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389" t="b">
        <v>1</v>
      </c>
      <c r="C82" s="395"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389" t="b">
        <v>1</v>
      </c>
      <c r="C83" s="395"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389" t="b">
        <v>1</v>
      </c>
      <c r="C84" s="395"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389" t="b">
        <v>1</v>
      </c>
      <c r="C85" s="395"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389" t="b">
        <v>1</v>
      </c>
      <c r="C86" s="395"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389" t="b">
        <v>1</v>
      </c>
      <c r="C87" s="395"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389" t="b">
        <v>1</v>
      </c>
      <c r="C88" s="395"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389" t="b">
        <v>1</v>
      </c>
      <c r="C89" s="395"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389" t="b">
        <v>1</v>
      </c>
      <c r="C90" s="395"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A179" s="1">
        <v>177</v>
      </c>
      <c r="B179" s="80" t="b">
        <f t="shared" si="80"/>
        <v>1</v>
      </c>
      <c r="C179" s="80" t="b">
        <f t="shared" si="80"/>
        <v>1</v>
      </c>
      <c r="D179" s="392" t="s">
        <v>926</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920</v>
      </c>
      <c r="Q179" s="89">
        <v>-1</v>
      </c>
      <c r="R179" s="89">
        <v>0</v>
      </c>
      <c r="S179" s="89"/>
      <c r="T179" s="81" t="s">
        <v>920</v>
      </c>
      <c r="U179" s="81">
        <v>1</v>
      </c>
      <c r="V179" s="81">
        <v>21</v>
      </c>
      <c r="W179" s="81"/>
      <c r="X179" s="89" t="s">
        <v>920</v>
      </c>
      <c r="Y179" s="89">
        <v>16</v>
      </c>
      <c r="Z179" s="89">
        <v>5</v>
      </c>
      <c r="AA179" s="89"/>
      <c r="AB179" s="81" t="s">
        <v>920</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25">
      <c r="A180" s="1">
        <v>178</v>
      </c>
      <c r="B180" s="80" t="b">
        <f t="shared" si="80"/>
        <v>1</v>
      </c>
      <c r="C180" s="80" t="b">
        <f t="shared" si="80"/>
        <v>1</v>
      </c>
      <c r="D180" s="392" t="s">
        <v>927</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920</v>
      </c>
      <c r="Q180" s="89">
        <v>-1</v>
      </c>
      <c r="R180" s="89">
        <v>0</v>
      </c>
      <c r="S180" s="89"/>
      <c r="T180" s="81" t="s">
        <v>920</v>
      </c>
      <c r="U180" s="81">
        <v>1</v>
      </c>
      <c r="V180" s="81">
        <v>62</v>
      </c>
      <c r="W180" s="81"/>
      <c r="X180" s="89" t="s">
        <v>920</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25">
      <c r="A181" s="1">
        <v>179</v>
      </c>
      <c r="B181" s="80" t="b">
        <f t="shared" si="80"/>
        <v>1</v>
      </c>
      <c r="C181" s="80" t="b">
        <f t="shared" si="80"/>
        <v>1</v>
      </c>
      <c r="D181" s="79" t="s">
        <v>932</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25">
      <c r="A182" s="1">
        <v>180</v>
      </c>
      <c r="B182" s="80" t="b">
        <f t="shared" si="80"/>
        <v>1</v>
      </c>
      <c r="C182" s="80" t="b">
        <f t="shared" si="80"/>
        <v>1</v>
      </c>
      <c r="D182" s="79" t="s">
        <v>933</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25">
      <c r="A183" s="1">
        <v>181</v>
      </c>
      <c r="B183" s="80" t="b">
        <f t="shared" si="80"/>
        <v>1</v>
      </c>
      <c r="C183" s="80" t="b">
        <f t="shared" si="80"/>
        <v>1</v>
      </c>
      <c r="D183" s="79" t="s">
        <v>934</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25">
      <c r="O187" s="22"/>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T38 AZ106:AZ109 AF106:AF109 AB106:AB109 X106:X109 AV106:AV109 AJ106:AJ109 BL107:BL108 BH106:BH109 T106:T109 AR106:AR109 BL3:BL39 BL44:BL95 T197:T216 T71:T95 AV44:AV95 BD44:BD95 AZ3:AZ95 BH3:BH95 AB40:AB42 T40:T42 X40:X42 AF40:AF42 T136:T137 T3:T27 X3:X27 AV3:AV42 T30:T34 X30:X38 AB3:AB38 AN3:AN38 AJ3:AJ38 AF3:AF38 BD3:BD39 X97 AB97 AF97 T97 T36 AB179:AB183 AF179:AF181 AJ179:AJ180 T179:T183 X179:X183 AN45:AN95 AR3:AR58 AR62:AR95 AJ40:AJ95 T45:T69 X45:X95 AB45:AB95 AF45:AF95</xm:sqref>
        </x14:dataValidation>
        <x14:dataValidation type="list" allowBlank="1" showInputMessage="1" showErrorMessage="1">
          <x14:formula1>
            <xm:f>'Event types'!$A$2:$A$283</xm:f>
          </x14:formula1>
          <xm:sqref>T43:T44 BL96:BL105 BL110:BL151 BL43 AB110:AB151 T98:T105 BD96:BD105 AZ96:AZ105 BH96:BH105 AJ96:AJ105 AN96:AN105 AV96:AV105 AF98:AF105 AR96:AR105 AB98:AB105 X98:X105 X112:X151 BD110:BD151 T110:T135 X110 AZ110:AZ151 T138:T151 AR110:AR151 AF110:AF151 AV110:AV151 AN110:AN151 AJ110:AJ151 BH110:BH151 AF43:AF44 AV43 AN43:AN44 AF96 AB96 X96 T96 BD43 X28:X29 T28:T29 AB43:AB44 X43:X44 BL181:BL183 AN181:AN183 AF182:AF183 BD181:BD183 BH181:BH183 AZ181:AZ183 AR181:AR183 AJ181:AJ183 AV181:AV183</xm:sqref>
        </x14:dataValidation>
        <x14:dataValidation type="list" allowBlank="1" showInputMessage="1" showErrorMessage="1">
          <x14:formula1>
            <xm:f>'Event types'!$A$2:$A$111</xm:f>
          </x14:formula1>
          <xm:sqref>BL184:BL197 AJ184:AJ195 T156:T161 T164:T177 AF184:AF197 BH184:BH197 X184:X197 AZ184:AZ196 AV184:AV195 AN184:AN194 BD184:BD197 AR184:AR195 AB184:AB197 AF152:AF178 AJ152:AJ178 AB152:AB178 X152:X178 AR152:AR180 BD152:BD180 AN152:AN180 AV152:AV180 AZ152:AZ180 BH152:BH180 BL152:BL180 T184:T196</xm:sqref>
        </x14:dataValidation>
        <x14:dataValidation type="list" allowBlank="1" showInputMessage="1" showErrorMessage="1">
          <x14:formula1>
            <xm:f>'Event types'!$A$2:$A$103</xm:f>
          </x14:formula1>
          <xm:sqref>T70 T152:T163 X111 T178 T184:T186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180"/>
  <sheetViews>
    <sheetView zoomScaleNormal="100" workbookViewId="0">
      <pane ySplit="2" topLeftCell="A3" activePane="bottomLeft" state="frozen"/>
      <selection pane="bottomLeft" activeCell="L3" sqref="L3"/>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404" t="s">
        <v>490</v>
      </c>
      <c r="B1" s="404"/>
      <c r="C1" s="404"/>
      <c r="D1" s="404"/>
      <c r="E1" s="405" t="s">
        <v>491</v>
      </c>
      <c r="F1" s="406"/>
      <c r="G1" s="406"/>
      <c r="H1" s="406"/>
      <c r="I1" s="406"/>
      <c r="J1" s="406"/>
      <c r="K1" s="406"/>
      <c r="L1" s="406"/>
      <c r="M1" s="406"/>
      <c r="N1" s="407"/>
      <c r="O1" s="411" t="s">
        <v>77</v>
      </c>
      <c r="P1" s="412"/>
      <c r="Q1" s="412"/>
      <c r="R1" s="413"/>
      <c r="S1" s="405" t="s">
        <v>78</v>
      </c>
      <c r="T1" s="406"/>
      <c r="U1" s="406"/>
      <c r="V1" s="406"/>
      <c r="W1" s="411" t="s">
        <v>79</v>
      </c>
      <c r="X1" s="412"/>
      <c r="Y1" s="412"/>
      <c r="Z1" s="413"/>
      <c r="AA1" s="408" t="s">
        <v>80</v>
      </c>
      <c r="AB1" s="409"/>
      <c r="AC1" s="409"/>
      <c r="AD1" s="410"/>
      <c r="AE1" s="411" t="s">
        <v>81</v>
      </c>
      <c r="AF1" s="412"/>
      <c r="AG1" s="412"/>
      <c r="AH1" s="413"/>
      <c r="AI1" s="408" t="s">
        <v>82</v>
      </c>
      <c r="AJ1" s="409"/>
      <c r="AK1" s="409"/>
      <c r="AL1" s="410"/>
      <c r="AM1" s="411" t="s">
        <v>83</v>
      </c>
      <c r="AN1" s="412"/>
      <c r="AO1" s="412"/>
      <c r="AP1" s="413"/>
      <c r="AQ1" s="408" t="s">
        <v>84</v>
      </c>
      <c r="AR1" s="409"/>
      <c r="AS1" s="409"/>
      <c r="AT1" s="410"/>
      <c r="AU1" s="411" t="s">
        <v>85</v>
      </c>
      <c r="AV1" s="412"/>
      <c r="AW1" s="412"/>
      <c r="AX1" s="413"/>
      <c r="AY1" s="408" t="s">
        <v>86</v>
      </c>
      <c r="AZ1" s="409"/>
      <c r="BA1" s="409"/>
      <c r="BB1" s="410"/>
      <c r="BC1" s="411" t="s">
        <v>87</v>
      </c>
      <c r="BD1" s="412"/>
      <c r="BE1" s="412"/>
      <c r="BF1" s="413"/>
      <c r="BG1" s="408" t="s">
        <v>88</v>
      </c>
      <c r="BH1" s="409"/>
      <c r="BI1" s="409"/>
      <c r="BJ1" s="410"/>
    </row>
    <row r="2" spans="1:94" s="11" customFormat="1" ht="30" customHeight="1" x14ac:dyDescent="0.25">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25">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25">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25">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25">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25">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25">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25">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25">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25">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25">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25">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25">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25">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25">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25">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25">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25">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25">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25">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25">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25">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25">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25">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25">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25">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25">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25">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25">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25">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25">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25">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25">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25">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25">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25">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25">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25">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25">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25">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25">
      <c r="A45" s="118">
        <v>1043</v>
      </c>
      <c r="B45" s="11" t="b">
        <v>1</v>
      </c>
      <c r="C45" s="11" t="b">
        <v>1</v>
      </c>
      <c r="D45" s="1" t="s">
        <v>252</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45</v>
      </c>
      <c r="O45" s="122" t="s">
        <v>920</v>
      </c>
      <c r="P45" s="122">
        <v>-1</v>
      </c>
      <c r="Q45" s="122">
        <v>0</v>
      </c>
      <c r="R45" s="122"/>
      <c r="S45" s="24" t="s">
        <v>920</v>
      </c>
      <c r="T45" s="24">
        <v>0</v>
      </c>
      <c r="U45" s="24">
        <v>1</v>
      </c>
      <c r="V45" s="24"/>
      <c r="W45" s="122" t="s">
        <v>920</v>
      </c>
      <c r="X45" s="122">
        <v>1</v>
      </c>
      <c r="Y45" s="122">
        <v>3</v>
      </c>
      <c r="Z45" s="122"/>
      <c r="AA45" s="24" t="s">
        <v>920</v>
      </c>
      <c r="AB45" s="24">
        <v>16</v>
      </c>
      <c r="AC45" s="24">
        <v>5</v>
      </c>
      <c r="AD45" s="24"/>
      <c r="AE45" s="122" t="s">
        <v>920</v>
      </c>
      <c r="AF45" s="122">
        <v>31</v>
      </c>
      <c r="AG45" s="122">
        <v>9</v>
      </c>
      <c r="AH45" s="122"/>
      <c r="AI45" s="24" t="s">
        <v>920</v>
      </c>
      <c r="AJ45" s="24">
        <v>46</v>
      </c>
      <c r="AK45" s="24">
        <v>17</v>
      </c>
      <c r="AL45" s="24"/>
      <c r="AM45" s="122" t="s">
        <v>920</v>
      </c>
      <c r="AN45" s="122">
        <v>61</v>
      </c>
      <c r="AO45" s="122">
        <v>33</v>
      </c>
      <c r="AP45" s="122"/>
      <c r="AQ45" s="24" t="s">
        <v>920</v>
      </c>
      <c r="AR45" s="24">
        <v>76</v>
      </c>
      <c r="AS45" s="24">
        <v>0</v>
      </c>
      <c r="AT45" s="24"/>
      <c r="AU45" s="17"/>
      <c r="AV45" s="17"/>
      <c r="AW45" s="17"/>
      <c r="AX45" s="17"/>
      <c r="AY45" s="23"/>
      <c r="AZ45" s="5"/>
      <c r="BA45" s="5"/>
      <c r="BB45" s="5"/>
      <c r="BC45" s="17"/>
      <c r="BD45" s="17"/>
      <c r="BE45" s="17"/>
      <c r="BF45" s="17"/>
      <c r="BG45" s="23"/>
      <c r="BH45" s="5"/>
      <c r="BI45" s="5"/>
      <c r="BJ45" s="251"/>
    </row>
    <row r="46" spans="1:62" x14ac:dyDescent="0.25">
      <c r="A46" s="118">
        <v>1044</v>
      </c>
      <c r="B46" s="11" t="b">
        <v>1</v>
      </c>
      <c r="C46" s="11" t="b">
        <v>1</v>
      </c>
      <c r="D46" s="1" t="s">
        <v>748</v>
      </c>
      <c r="E46" s="5">
        <f t="shared" si="3"/>
        <v>1.0651315789473685</v>
      </c>
      <c r="F46" s="5">
        <v>1</v>
      </c>
      <c r="G46" s="21" t="s">
        <v>218</v>
      </c>
      <c r="H46" s="20" t="s">
        <v>105</v>
      </c>
      <c r="I46" s="119">
        <v>0</v>
      </c>
      <c r="J46" s="5" t="s">
        <v>105</v>
      </c>
      <c r="K46" s="21">
        <f t="shared" si="11"/>
        <v>10</v>
      </c>
      <c r="L46" s="21">
        <f t="shared" si="12"/>
        <v>10</v>
      </c>
      <c r="M46" s="21" t="s">
        <v>105</v>
      </c>
      <c r="N46" s="22">
        <v>45</v>
      </c>
      <c r="O46" s="122" t="s">
        <v>920</v>
      </c>
      <c r="P46" s="122">
        <v>-1</v>
      </c>
      <c r="Q46" s="122">
        <v>0</v>
      </c>
      <c r="R46" s="122"/>
      <c r="S46" s="24" t="s">
        <v>920</v>
      </c>
      <c r="T46" s="24">
        <v>0</v>
      </c>
      <c r="U46" s="24">
        <v>1</v>
      </c>
      <c r="V46" s="24"/>
      <c r="W46" s="122" t="s">
        <v>115</v>
      </c>
      <c r="X46" s="122">
        <v>1</v>
      </c>
      <c r="Y46" s="393">
        <v>0.2</v>
      </c>
      <c r="Z46" s="122">
        <v>0.45</v>
      </c>
      <c r="AA46" s="24" t="s">
        <v>920</v>
      </c>
      <c r="AB46" s="24">
        <f>X46+Z46+0.2</f>
        <v>1.65</v>
      </c>
      <c r="AC46" s="24">
        <v>17</v>
      </c>
      <c r="AD46" s="24"/>
      <c r="AE46" s="122" t="s">
        <v>920</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25">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25">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25">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25">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25">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25">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25">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25">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25">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25">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25">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25">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25">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25">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25">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25">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 customHeight="1" x14ac:dyDescent="0.25">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25">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25">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25">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25">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25">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25">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25">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25">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 customHeight="1" x14ac:dyDescent="0.25">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25">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25">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25">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25">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25">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25">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25">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25">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25">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25">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25">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25">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25">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25">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25">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25">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25">
      <c r="A89" s="1">
        <v>1087</v>
      </c>
      <c r="B89" s="388" t="b">
        <v>1</v>
      </c>
      <c r="C89" s="388" t="b">
        <v>1</v>
      </c>
      <c r="D89" s="394" t="s">
        <v>928</v>
      </c>
      <c r="E89" s="5">
        <f t="shared" si="29"/>
        <v>1.0651315789473685</v>
      </c>
      <c r="F89" s="5">
        <v>1</v>
      </c>
      <c r="G89" s="21" t="s">
        <v>218</v>
      </c>
      <c r="H89" s="20" t="s">
        <v>105</v>
      </c>
      <c r="I89" s="119">
        <v>0</v>
      </c>
      <c r="J89" s="5" t="s">
        <v>105</v>
      </c>
      <c r="K89" s="21">
        <f t="shared" si="27"/>
        <v>10</v>
      </c>
      <c r="L89" s="21">
        <f t="shared" si="28"/>
        <v>10</v>
      </c>
      <c r="M89" s="21" t="s">
        <v>105</v>
      </c>
      <c r="N89" s="6">
        <v>40</v>
      </c>
      <c r="O89" s="122" t="s">
        <v>920</v>
      </c>
      <c r="P89" s="122">
        <v>-1</v>
      </c>
      <c r="Q89" s="122">
        <v>0</v>
      </c>
      <c r="R89" s="122"/>
      <c r="S89" s="24" t="s">
        <v>920</v>
      </c>
      <c r="T89" s="24">
        <v>0</v>
      </c>
      <c r="U89" s="24">
        <v>1</v>
      </c>
      <c r="V89" s="24"/>
      <c r="W89" s="122" t="s">
        <v>920</v>
      </c>
      <c r="X89" s="122">
        <v>1</v>
      </c>
      <c r="Y89" s="122">
        <v>21</v>
      </c>
      <c r="Z89" s="122"/>
      <c r="AA89" s="24" t="s">
        <v>920</v>
      </c>
      <c r="AB89" s="24">
        <v>16</v>
      </c>
      <c r="AC89" s="24">
        <v>5</v>
      </c>
      <c r="AD89" s="24"/>
      <c r="AE89" s="122" t="s">
        <v>920</v>
      </c>
      <c r="AF89" s="122">
        <v>31</v>
      </c>
      <c r="AG89" s="122">
        <v>0</v>
      </c>
      <c r="AH89" s="122"/>
      <c r="BJ89" s="68"/>
    </row>
    <row r="90" spans="1:62" x14ac:dyDescent="0.25">
      <c r="A90" s="1">
        <v>1088</v>
      </c>
      <c r="B90" s="388" t="b">
        <v>1</v>
      </c>
      <c r="C90" s="388" t="b">
        <v>1</v>
      </c>
      <c r="D90" s="394" t="s">
        <v>929</v>
      </c>
      <c r="E90" s="5">
        <f t="shared" si="29"/>
        <v>1.0651315789473685</v>
      </c>
      <c r="F90" s="5">
        <v>1</v>
      </c>
      <c r="G90" s="21" t="s">
        <v>218</v>
      </c>
      <c r="H90" s="20" t="s">
        <v>105</v>
      </c>
      <c r="I90" s="119">
        <v>0</v>
      </c>
      <c r="J90" s="5" t="s">
        <v>105</v>
      </c>
      <c r="K90" s="21">
        <f t="shared" si="27"/>
        <v>10</v>
      </c>
      <c r="L90" s="21">
        <f t="shared" si="28"/>
        <v>10</v>
      </c>
      <c r="M90" s="21" t="s">
        <v>105</v>
      </c>
      <c r="N90" s="6">
        <v>40</v>
      </c>
      <c r="O90" s="122" t="s">
        <v>920</v>
      </c>
      <c r="P90" s="122">
        <v>-1</v>
      </c>
      <c r="Q90" s="122">
        <v>0</v>
      </c>
      <c r="R90" s="122"/>
      <c r="S90" s="24" t="s">
        <v>920</v>
      </c>
      <c r="T90" s="24">
        <v>1</v>
      </c>
      <c r="U90" s="24">
        <v>62</v>
      </c>
      <c r="V90" s="24"/>
      <c r="W90" s="122" t="s">
        <v>920</v>
      </c>
      <c r="X90" s="122">
        <v>1</v>
      </c>
      <c r="Y90" s="122">
        <v>3</v>
      </c>
      <c r="Z90" s="122"/>
      <c r="AA90" s="24" t="s">
        <v>920</v>
      </c>
      <c r="AB90" s="24">
        <v>10</v>
      </c>
      <c r="AC90" s="24">
        <v>63</v>
      </c>
      <c r="AD90" s="24"/>
      <c r="AE90" s="122" t="s">
        <v>920</v>
      </c>
      <c r="AF90" s="122">
        <v>25</v>
      </c>
      <c r="AG90" s="122">
        <v>0</v>
      </c>
      <c r="AH90" s="122"/>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datavalidation!$C$1:$C$8</xm:f>
          </x14:formula1>
          <xm:sqref>G91:G1048576</xm:sqref>
        </x14:dataValidation>
        <x14:dataValidation type="list" allowBlank="1" showInputMessage="1" showErrorMessage="1">
          <x14:formula1>
            <xm:f>datavalidation!$B$1:$B$8</xm:f>
          </x14:formula1>
          <xm:sqref>H37:H44 H91:H1048576</xm:sqref>
        </x14:dataValidation>
        <x14:dataValidation type="list" allowBlank="1" showInputMessage="1" showErrorMessage="1">
          <x14:formula1>
            <xm:f>'Event types'!$A$2:$A$950</xm:f>
          </x14:formula1>
          <xm:sqref>AM45:AM46 AE45:AE46 W45:W46 S45:S46 AA45:AA46 AI45:AI46 AQ45:AQ46 O91:O1048576 AE89:AE90 W89:W90 S89:S90 AA89:AA90</xm:sqref>
        </x14:dataValidation>
        <x14:dataValidation type="list" allowBlank="1" showInputMessage="1" showErrorMessage="1">
          <x14:formula1>
            <xm:f>'Event types'!$A$2:$A$103</xm:f>
          </x14:formula1>
          <xm:sqref>O37:O46 O89:O90</xm:sqref>
        </x14:dataValidation>
        <x14:dataValidation type="list" allowBlank="1" showInputMessage="1" showErrorMessage="1">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79"/>
  <sheetViews>
    <sheetView zoomScaleNormal="100" workbookViewId="0">
      <pane ySplit="2" topLeftCell="A3" activePane="bottomLeft" state="frozen"/>
      <selection pane="bottomLeft" activeCell="E80" sqref="E8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4" t="s">
        <v>490</v>
      </c>
      <c r="B1" s="404"/>
      <c r="C1" s="404"/>
      <c r="D1" s="404"/>
      <c r="E1" s="405" t="s">
        <v>491</v>
      </c>
      <c r="F1" s="406"/>
      <c r="G1" s="406"/>
      <c r="H1" s="406"/>
      <c r="I1" s="406"/>
      <c r="J1" s="406"/>
      <c r="K1" s="406"/>
      <c r="L1" s="406"/>
      <c r="M1" s="406"/>
      <c r="N1" s="406"/>
      <c r="O1" s="407"/>
      <c r="P1" s="414" t="s">
        <v>77</v>
      </c>
      <c r="Q1" s="414"/>
      <c r="R1" s="414"/>
      <c r="S1" s="414"/>
      <c r="T1" s="404" t="s">
        <v>78</v>
      </c>
      <c r="U1" s="404"/>
      <c r="V1" s="404"/>
      <c r="W1" s="404"/>
      <c r="X1" s="414" t="s">
        <v>79</v>
      </c>
      <c r="Y1" s="414"/>
      <c r="Z1" s="414"/>
      <c r="AA1" s="414"/>
      <c r="AB1" s="404" t="s">
        <v>80</v>
      </c>
      <c r="AC1" s="404"/>
      <c r="AD1" s="404"/>
      <c r="AE1" s="404"/>
      <c r="AF1" s="414" t="s">
        <v>81</v>
      </c>
      <c r="AG1" s="414"/>
      <c r="AH1" s="414"/>
      <c r="AI1" s="414"/>
      <c r="AJ1" s="404" t="s">
        <v>82</v>
      </c>
      <c r="AK1" s="404"/>
      <c r="AL1" s="404"/>
      <c r="AM1" s="404"/>
      <c r="AN1" s="414" t="s">
        <v>83</v>
      </c>
      <c r="AO1" s="414"/>
      <c r="AP1" s="414"/>
      <c r="AQ1" s="414"/>
      <c r="AR1" s="404" t="s">
        <v>84</v>
      </c>
      <c r="AS1" s="404"/>
      <c r="AT1" s="404"/>
      <c r="AU1" s="404"/>
      <c r="AV1" s="414" t="s">
        <v>85</v>
      </c>
      <c r="AW1" s="414"/>
      <c r="AX1" s="414"/>
      <c r="AY1" s="414"/>
      <c r="AZ1" s="404" t="s">
        <v>86</v>
      </c>
      <c r="BA1" s="404"/>
      <c r="BB1" s="404"/>
      <c r="BC1" s="404"/>
      <c r="BD1" s="414" t="s">
        <v>87</v>
      </c>
      <c r="BE1" s="414"/>
      <c r="BF1" s="414"/>
      <c r="BG1" s="414"/>
      <c r="BH1" s="404" t="s">
        <v>88</v>
      </c>
      <c r="BI1" s="404"/>
      <c r="BJ1" s="404"/>
      <c r="BK1" s="404"/>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25">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25">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25">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25">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25">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25">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25">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25">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25">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25">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datavalidation!$E$1:$E$2</xm:f>
          </x14:formula1>
          <xm:sqref>B70:C79 B54:C57 B60:C65 B46:C47 B19:C43 B50:C51 B3:C11</xm:sqref>
        </x14:dataValidation>
        <x14:dataValidation type="list" allowBlank="1" showInputMessage="1" showErrorMessage="1">
          <x14:formula1>
            <xm:f>datavalidation!$C$1:$C$8</xm:f>
          </x14:formula1>
          <xm:sqref>H70:H1048576 H3:H11 H60:H65 H46:H47 H19:H43 H50:H51 H54:H57</xm:sqref>
        </x14:dataValidation>
        <x14:dataValidation type="list" allowBlank="1" showInputMessage="1" showErrorMessage="1">
          <x14:formula1>
            <xm:f>datavalidation!$B$1:$B$8</xm:f>
          </x14:formula1>
          <xm:sqref>I70:I1048576 I3:I11 I60:I65 I46:I47 I19:I43 I50:I51 I54:I57</xm:sqref>
        </x14:dataValidation>
        <x14:dataValidation type="list" allowBlank="1" showInputMessage="1" showErrorMessage="1">
          <x14:formula1>
            <xm:f>'Event types'!$A$2:$A$283</xm:f>
          </x14:formula1>
          <xm:sqref>AB50 BH54:BH57 BH50:BH51 AN50:AN51 AR50:AR51 AV50:AV51 AZ50:AZ51 BD50:BD51 BD19:BD43 AZ19:AZ43 AV19:AV43 AR19:AR43 AN19:AN43 BH19:BH43 P19:P43 AJ19:AJ43 T19:T43 AF19:AF43 AB19:AB43 X19:X43 X50 X46:X47 AB46:AB47 AF46:AF47 T46:T47 AJ46:AJ47 P46:P47 BH46:BH47 AN46:AN47 AR46:AR47 AV46:AV47 AZ46:AZ47 P60:P65 P54:P57 BD46:BD47 BD54:BD57 AZ54:AZ57 AV54:AV57 AR54:AR57 T54:T57 X54:X57 AB54:AB57 AF54:AF57 AJ54:AJ57 AJ3:AJ11 X3:X11 AB3:AB11 AF3:AF11 BD3:BD11 AZ3:AZ11 AV3:AV11 AR3:AR11 AN3:AN11 BH3:BH11 T3:T11 P3:P11 AN54:AN57 P50 BD60:BD65 AJ60:AJ65 AF60:AF65 AB60:AB65 AJ50 X60:X65 T60:T65 BH60:BH65 AN60:AN65 AR60:AR65 AV60:AV65 AZ60:AZ65 T50 AF50 AJ70:AJ78 P70:P79 BD70:BD78 AZ70:AZ78 AV70:AV78 AR70:AR78 AN70:AN78 BH70:BH78 T70:T79 X70:X79 AB70:AB78 AF70:AF78</xm:sqref>
        </x14:dataValidation>
        <x14:dataValidation type="list" allowBlank="1" showInputMessage="1" showErrorMessage="1">
          <x14:formula1>
            <xm:f>'Event types'!$A$2:$A$950</xm:f>
          </x14:formula1>
          <xm:sqref>AF51 AJ51 P80:P1048576 T51 P51 X51 AB51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W218"/>
  <sheetViews>
    <sheetView zoomScaleNormal="100" workbookViewId="0">
      <pane ySplit="2" topLeftCell="A3" activePane="bottomLeft" state="frozen"/>
      <selection pane="bottomLeft" activeCell="I46" sqref="I46"/>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404" t="s">
        <v>490</v>
      </c>
      <c r="B1" s="404"/>
      <c r="C1" s="404"/>
      <c r="D1" s="404"/>
      <c r="E1" s="405" t="s">
        <v>491</v>
      </c>
      <c r="F1" s="406"/>
      <c r="G1" s="406"/>
      <c r="H1" s="406"/>
      <c r="I1" s="406"/>
      <c r="J1" s="406"/>
      <c r="K1" s="406"/>
      <c r="L1" s="406"/>
      <c r="M1" s="406"/>
      <c r="N1" s="406"/>
      <c r="O1" s="406"/>
      <c r="P1" s="406"/>
      <c r="Q1" s="406"/>
      <c r="R1" s="406"/>
      <c r="S1" s="406"/>
      <c r="T1" s="406"/>
      <c r="U1" s="407"/>
      <c r="V1" s="403" t="s">
        <v>77</v>
      </c>
      <c r="W1" s="403"/>
      <c r="X1" s="403"/>
      <c r="Y1" s="403"/>
      <c r="Z1" s="404" t="s">
        <v>78</v>
      </c>
      <c r="AA1" s="404"/>
      <c r="AB1" s="404"/>
      <c r="AC1" s="404"/>
      <c r="AD1" s="403" t="s">
        <v>79</v>
      </c>
      <c r="AE1" s="403"/>
      <c r="AF1" s="403"/>
      <c r="AG1" s="403"/>
      <c r="AH1" s="404" t="s">
        <v>80</v>
      </c>
      <c r="AI1" s="404"/>
      <c r="AJ1" s="404"/>
      <c r="AK1" s="404"/>
      <c r="AL1" s="403" t="s">
        <v>81</v>
      </c>
      <c r="AM1" s="403"/>
      <c r="AN1" s="403"/>
      <c r="AO1" s="403"/>
      <c r="AP1" s="404" t="s">
        <v>82</v>
      </c>
      <c r="AQ1" s="404"/>
      <c r="AR1" s="404"/>
      <c r="AS1" s="404"/>
      <c r="AT1" s="403" t="s">
        <v>83</v>
      </c>
      <c r="AU1" s="403"/>
      <c r="AV1" s="403"/>
      <c r="AW1" s="403"/>
      <c r="AX1" s="404" t="s">
        <v>84</v>
      </c>
      <c r="AY1" s="404"/>
      <c r="AZ1" s="404"/>
      <c r="BA1" s="404"/>
      <c r="BB1" s="403" t="s">
        <v>85</v>
      </c>
      <c r="BC1" s="403"/>
      <c r="BD1" s="403"/>
      <c r="BE1" s="403"/>
      <c r="BF1" s="404" t="s">
        <v>86</v>
      </c>
      <c r="BG1" s="404"/>
      <c r="BH1" s="404"/>
      <c r="BI1" s="404"/>
      <c r="BJ1" s="403" t="s">
        <v>87</v>
      </c>
      <c r="BK1" s="403"/>
      <c r="BL1" s="403"/>
      <c r="BM1" s="403"/>
      <c r="BN1" s="404" t="s">
        <v>88</v>
      </c>
      <c r="BO1" s="404"/>
      <c r="BP1" s="404"/>
      <c r="BQ1" s="404"/>
      <c r="BR1" s="403" t="s">
        <v>495</v>
      </c>
      <c r="BS1" s="403"/>
      <c r="BT1" s="403"/>
      <c r="BU1" s="403"/>
    </row>
    <row r="2" spans="1:73" s="11" customFormat="1" ht="30" customHeight="1" x14ac:dyDescent="0.25">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14:formula1>
            <xm:f>'Event types'!$A$2:$A$103</xm:f>
          </x14:formula1>
          <xm:sqref>Z178:Z186 V3:V1048576 Z152:Z163 AD111 Z70</xm:sqref>
        </x14:dataValidation>
        <x14:dataValidation type="list" allowBlank="1" showInputMessage="1" showErrorMessage="1">
          <x14:formula1>
            <xm:f>'Event types'!$A$2:$A$111</xm:f>
          </x14:formula1>
          <xm:sqref>Z183:Z196 BR152:BR197 Z156:Z161 Z164:Z177 AD152:AD197 AH152:AH197 BN152:BN197 AP152:AP195 AL152:AL197 BB152:BB195 AT152:AT194 BJ152:BJ197 AX152:AX195 BF152:BF196</xm:sqref>
        </x14:dataValidation>
        <x14:dataValidation type="list" allowBlank="1" showInputMessage="1" showErrorMessage="1">
          <x14:formula1>
            <xm:f>'Event types'!$A$2:$A$283</xm:f>
          </x14:formula1>
          <xm:sqref>Z43:Z44 BR96:BR105 BR110:BR151 BR43 AH110:AH151 Z98:Z105 BJ96:BJ105 BF96:BF105 BN96:BN105 AP96:AP105 AT96:AT105 BB96:BB105 AL98:AL105 AX96:AX105 AH98:AH105 AD98:AD105 AD112:AD151 BJ110:BJ151 Z110:Z135 AD110 BF110:BF151 Z138:Z151 AX110:AX151 AL110:AL151 BB110:BB151 AT110:AT151 AP110:AP151 BN110:BN151 AL43:AL44 BB43 AT43:AT44 AL96 AH96 AD96 Z96 BJ43 AD28:AD29 Z28:Z29 AH43:AH44 AD43:AD44</xm:sqref>
        </x14:dataValidation>
        <x14:dataValidation type="list" allowBlank="1" showInputMessage="1" showErrorMessage="1">
          <x14:formula1>
            <xm:f>'Event types'!$A$2:$A$950</xm:f>
          </x14:formula1>
          <xm:sqref>Z38 BF106:BF109 AL106:AL109 AH106:AH109 AD106:AD109 BB106:BB109 AP106:AP109 BR107:BR108 BN106:BN109 Z106:Z109 AX106:AX109 AL45:AL95 AD45:AD95 Z45:Z69 AH45:AH95 BR3:BR39 BR44:BR95 AT45:AT95 AP40:AP95 Z71:Z95 BB44:BB95 BJ44:BJ95 BF3:BF95 BN3:BN95 AX3:AX95 AH40:AH42 Z40:Z42 AD40:AD42 AL40:AL42 Z136:Z137 Z3:Z27 AD3:AD27 BB3:BB42 Z30:Z34 AD30:AD38 AH3:AH38 AT3:AT38 AP3:AP38 AL3:AL38 BJ3:BJ39 AD97 AH97 AL97 Z97 Z36 Z197:Z216</xm:sqref>
        </x14:dataValidation>
        <x14:dataValidation type="list" allowBlank="1" showInputMessage="1" showErrorMessage="1">
          <x14:formula1>
            <xm:f>datavalidation!$B$1:$B$8</xm:f>
          </x14:formula1>
          <xm:sqref>O3:O1048576</xm:sqref>
        </x14:dataValidation>
        <x14:dataValidation type="list" allowBlank="1" showInputMessage="1" showErrorMessage="1">
          <x14:formula1>
            <xm:f>datavalidation!$C$1:$C$8</xm:f>
          </x14:formula1>
          <xm:sqref>N3:N1048576</xm:sqref>
        </x14:dataValidation>
        <x14:dataValidation type="list" allowBlank="1" showInputMessage="1" showErrorMessage="1">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186"/>
  <sheetViews>
    <sheetView zoomScaleNormal="100" workbookViewId="0">
      <pane ySplit="2" topLeftCell="A3" activePane="bottomLeft" state="frozen"/>
      <selection pane="bottomLeft" activeCell="J32" sqref="J32"/>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04" t="s">
        <v>490</v>
      </c>
      <c r="B1" s="404"/>
      <c r="C1" s="404"/>
      <c r="D1" s="404"/>
      <c r="E1" s="405" t="s">
        <v>491</v>
      </c>
      <c r="F1" s="406"/>
      <c r="G1" s="406"/>
      <c r="H1" s="406"/>
      <c r="I1" s="406"/>
      <c r="J1" s="406"/>
      <c r="K1" s="406"/>
      <c r="L1" s="406"/>
      <c r="M1" s="406"/>
      <c r="N1" s="406"/>
      <c r="O1" s="407"/>
      <c r="P1" s="414" t="s">
        <v>77</v>
      </c>
      <c r="Q1" s="414"/>
      <c r="R1" s="414"/>
      <c r="S1" s="414"/>
      <c r="T1" s="405" t="s">
        <v>78</v>
      </c>
      <c r="U1" s="406"/>
      <c r="V1" s="406"/>
      <c r="W1" s="406"/>
      <c r="X1" s="414" t="s">
        <v>79</v>
      </c>
      <c r="Y1" s="414"/>
      <c r="Z1" s="414"/>
      <c r="AA1" s="414"/>
      <c r="AB1" s="405" t="s">
        <v>80</v>
      </c>
      <c r="AC1" s="406"/>
      <c r="AD1" s="406"/>
      <c r="AE1" s="406"/>
      <c r="AF1" s="414" t="s">
        <v>81</v>
      </c>
      <c r="AG1" s="414"/>
      <c r="AH1" s="414"/>
      <c r="AI1" s="414"/>
      <c r="AJ1" s="405" t="s">
        <v>82</v>
      </c>
      <c r="AK1" s="406"/>
      <c r="AL1" s="406"/>
      <c r="AM1" s="406"/>
      <c r="AN1" s="414" t="s">
        <v>83</v>
      </c>
      <c r="AO1" s="414"/>
      <c r="AP1" s="414"/>
      <c r="AQ1" s="414"/>
      <c r="AR1" s="405" t="s">
        <v>84</v>
      </c>
      <c r="AS1" s="406"/>
      <c r="AT1" s="406"/>
      <c r="AU1" s="406"/>
      <c r="AV1" s="414" t="s">
        <v>85</v>
      </c>
      <c r="AW1" s="414"/>
      <c r="AX1" s="414"/>
      <c r="AY1" s="414"/>
      <c r="AZ1" s="405" t="s">
        <v>86</v>
      </c>
      <c r="BA1" s="406"/>
      <c r="BB1" s="406"/>
      <c r="BC1" s="406"/>
      <c r="BD1" s="414" t="s">
        <v>87</v>
      </c>
      <c r="BE1" s="414"/>
      <c r="BF1" s="414"/>
      <c r="BG1" s="414"/>
      <c r="BH1" s="405" t="s">
        <v>88</v>
      </c>
      <c r="BI1" s="406"/>
      <c r="BJ1" s="406"/>
      <c r="BK1" s="406"/>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4">"Custom_RfG_Fault_3_FRTtrig_"&amp;SUBSTITUTE(TEXT(R5,"0,00"),",",".")&amp;"pu"</f>
        <v>Custom_RfG_Fault_3_FRTtrig_0.86pu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4"/>
        <v>Custom_RfG_Fault_3_FRTtrig_0.85pu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4"/>
        <v>Custom_RfG_Fault_3_FRTtrig_0.84pu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4"/>
        <v>Custom_RfG_Fault_3_FRTtrig_0.83pu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4"/>
        <v>Custom_RfG_Fault_3_FRTtrig_0.82pu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4"/>
        <v>Custom_RfG_Fault_3_FRTtrig_0.81pu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4"/>
        <v>Custom_RfG_Fault_3_FRTtrig_0.80pu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4"/>
        <v>Custom_RfG_Fault_3_FRTtrig_0.79pu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4"/>
        <v>Custom_RfG_Fault_3_FRTtrig_0.78pu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25">
      <c r="A15" s="1">
        <v>4013</v>
      </c>
      <c r="B15" s="11" t="b">
        <v>1</v>
      </c>
      <c r="C15" s="11" t="b">
        <v>1</v>
      </c>
      <c r="D15" s="118" t="str">
        <f t="shared" ref="D15:D19" si="15">"Custom_RfG_LVRT_FRTexit_"&amp;SUBSTITUTE(TEXT(AH15,"0,00"),",",".")&amp;"pu"</f>
        <v>Custom_RfG_LVRT_FRTexit_0.85pu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25">
      <c r="A16" s="1">
        <v>4014</v>
      </c>
      <c r="B16" s="11" t="b">
        <v>1</v>
      </c>
      <c r="C16" s="11" t="b">
        <v>1</v>
      </c>
      <c r="D16" s="118" t="str">
        <f t="shared" si="15"/>
        <v>Custom_RfG_LVRT_FRTexit_0.86pu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25">
      <c r="A17" s="1">
        <v>4015</v>
      </c>
      <c r="B17" s="11" t="b">
        <v>1</v>
      </c>
      <c r="C17" s="11" t="b">
        <v>1</v>
      </c>
      <c r="D17" s="118" t="str">
        <f t="shared" si="15"/>
        <v>Custom_RfG_LVRT_FRTexit_0.87pu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25">
      <c r="A18" s="1">
        <v>4016</v>
      </c>
      <c r="B18" s="11" t="b">
        <v>1</v>
      </c>
      <c r="C18" s="11" t="b">
        <v>1</v>
      </c>
      <c r="D18" s="118" t="str">
        <f t="shared" si="15"/>
        <v>Custom_RfG_LVRT_FRTexit_0.88pu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25">
      <c r="A19" s="1">
        <v>4017</v>
      </c>
      <c r="B19" s="11" t="b">
        <v>1</v>
      </c>
      <c r="C19" s="11" t="b">
        <v>1</v>
      </c>
      <c r="D19" s="118" t="str">
        <f t="shared" si="15"/>
        <v>Custom_RfG_LVRT_FRTexit_0.89pu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6">"Custom_RfG_Fault_3_MaxIQ_"&amp;SUBSTITUTE(TEXT(R21,"0,00"),",",".")&amp;"pu"</f>
        <v>Custom_RfG_Fault_3_MaxIQ_0.23pu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6"/>
        <v>Custom_RfG_Fault_3_MaxIQ_0.22pu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6"/>
        <v>Custom_RfG_Fault_3_MaxIQ_0.21pu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6"/>
        <v>Custom_RfG_Fault_3_MaxIQ_0.20pu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6"/>
        <v>Custom_RfG_Fault_3_MaxIQ_0.19pu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6"/>
        <v>Custom_RfG_Fault_3_MaxIQ_0.18pu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6"/>
        <v>Custom_RfG_Fault_3_MaxIQ_0.17pu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6"/>
        <v>Custom_RfG_Fault_3_MaxIQ_0.16pu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6"/>
        <v>Custom_RfG_Fault_3_MaxIQ_0.15pu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7">"Custom_RfG_Ucontrol_Plim_"&amp;SUBSTITUTE(TEXT(R36,"0,00"),",",".")&amp;"pu"</f>
        <v>Custom_RfG_Ucontrol_Plim_1.00pu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7"/>
        <v>Custom_RfG_Ucontrol_Plim_0.50pu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4">"Custom_Fault_3_U0_"&amp;SUBSTITUTE(TEXT(E56,"0,000"),",",".")&amp;"pu_OVRT_"&amp;SUBSTITUTE(TEXT(V56,"0,00"),",",".")</f>
        <v>Custom_Fault_3_U0_1.065pu_OVRT_1.15</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4"/>
        <v>Custom_Fault_3_U0_1.065pu_OVRT_1.20</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4"/>
        <v>Custom_Fault_3_U0_1.065pu_OVRT_1.30</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25">
      <c r="A59" s="1">
        <v>4057</v>
      </c>
      <c r="B59" s="11" t="b">
        <v>1</v>
      </c>
      <c r="C59" s="11" t="b">
        <v>1</v>
      </c>
      <c r="D59" s="118" t="str">
        <f t="shared" si="24"/>
        <v>Custom_Fault_3_U0_1.065pu_OVRT_1.15</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4"/>
        <v>Custom_Fault_3_U0_1.065pu_OVRT_1.20</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4"/>
        <v>Custom_Fault_3_U0_1.065pu_OVRT_1.30</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25">
      <c r="A83" s="1">
        <v>4081</v>
      </c>
      <c r="B83" s="11" t="b">
        <v>1</v>
      </c>
      <c r="C83" s="11" t="b">
        <v>1</v>
      </c>
      <c r="D83" s="118" t="str">
        <f t="shared" ref="D83:D84" si="31">"Custom_Fault_3_"&amp;SUBSTITUTE(TEXT(R83,"0,00"),",",".")&amp;"pu_Duration_"&amp;SUBSTITUTE(TEXT(S83*1000,"00"),",",".")</f>
        <v>Custom_Fault_3_0.20pu_Duration_60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25">
      <c r="A84" s="1">
        <v>4082</v>
      </c>
      <c r="B84" s="11" t="b">
        <v>1</v>
      </c>
      <c r="C84" s="11" t="b">
        <v>1</v>
      </c>
      <c r="D84" s="118" t="str">
        <f t="shared" si="31"/>
        <v>Custom_Fault_3_0.20pu_Duration_40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25">
      <c r="A86" s="1">
        <v>4084</v>
      </c>
      <c r="B86" s="11" t="b">
        <v>1</v>
      </c>
      <c r="C86" s="11" t="b">
        <v>1</v>
      </c>
      <c r="D86" s="118" t="str">
        <f t="shared" ref="D86:D89" si="32">"Custom_Shift_"&amp;TEXT(Q86*1000,"00")&amp;"_Fault_3_"&amp;SUBSTITUTE(TEXT(R86,"0,00"),",",".")&amp;"pu"</f>
        <v>Custom_Shift_20_Fault_3_0.20pu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25">
      <c r="A87" s="1">
        <v>4085</v>
      </c>
      <c r="B87" s="11" t="b">
        <v>1</v>
      </c>
      <c r="C87" s="11" t="b">
        <v>1</v>
      </c>
      <c r="D87" s="118" t="str">
        <f t="shared" si="32"/>
        <v>Custom_Shift_30_Fault_3_0.20pu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25">
      <c r="A88" s="1">
        <v>4086</v>
      </c>
      <c r="B88" s="11" t="b">
        <v>1</v>
      </c>
      <c r="C88" s="11" t="b">
        <v>1</v>
      </c>
      <c r="D88" s="118" t="str">
        <f t="shared" si="32"/>
        <v>Custom_Shift_40_Fault_3_0.20pu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25">
      <c r="A89" s="1">
        <v>4087</v>
      </c>
      <c r="B89" s="11" t="b">
        <v>1</v>
      </c>
      <c r="C89" s="11" t="b">
        <v>1</v>
      </c>
      <c r="D89" s="118" t="str">
        <f t="shared" si="32"/>
        <v>Custom_Shift_50_Fault_3_0.20pu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P4:P13 P20:P38 P82:P1048576 AB56:AB61 AF36:AF38 X36:X38 X56:X61 AB14:AB19 T14:T19 X14:X19 AF14:AF19 AJ15:AJ19</xm:sqref>
        </x14:dataValidation>
        <x14:dataValidation type="list" allowBlank="1" showInputMessage="1" showErrorMessage="1">
          <x14:formula1>
            <xm:f>'Event types'!$A$2:$A$57</xm:f>
          </x14:formula1>
          <xm:sqref>T3:T13 P39:P81 T20:T1048576 AB36:AB38</xm:sqref>
        </x14:dataValidation>
        <x14:dataValidation type="list" allowBlank="1" showInputMessage="1" showErrorMessage="1">
          <x14:formula1>
            <xm:f>'Event types'!$A$2:$A$103</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zoomScale="115" zoomScaleNormal="115"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896</v>
      </c>
      <c r="B3" s="105" t="s">
        <v>912</v>
      </c>
      <c r="C3" s="105" t="s">
        <v>905</v>
      </c>
      <c r="D3" s="105" t="s">
        <v>904</v>
      </c>
      <c r="E3" s="105" t="s">
        <v>140</v>
      </c>
      <c r="F3" s="105" t="s">
        <v>27</v>
      </c>
    </row>
    <row r="4" spans="1:6" x14ac:dyDescent="0.25">
      <c r="A4" s="105" t="s">
        <v>897</v>
      </c>
      <c r="B4" s="105" t="s">
        <v>913</v>
      </c>
      <c r="C4" s="105" t="s">
        <v>905</v>
      </c>
      <c r="D4" s="105" t="s">
        <v>904</v>
      </c>
      <c r="E4" s="105" t="s">
        <v>140</v>
      </c>
      <c r="F4" s="105" t="s">
        <v>27</v>
      </c>
    </row>
    <row r="5" spans="1:6" x14ac:dyDescent="0.25">
      <c r="A5" s="105" t="s">
        <v>898</v>
      </c>
      <c r="B5" s="105" t="s">
        <v>914</v>
      </c>
      <c r="C5" s="105" t="s">
        <v>905</v>
      </c>
      <c r="D5" s="105" t="s">
        <v>904</v>
      </c>
      <c r="E5" s="105" t="s">
        <v>140</v>
      </c>
      <c r="F5" s="105" t="s">
        <v>27</v>
      </c>
    </row>
    <row r="6" spans="1:6" x14ac:dyDescent="0.25">
      <c r="A6" s="105" t="s">
        <v>899</v>
      </c>
      <c r="B6" s="105" t="s">
        <v>915</v>
      </c>
      <c r="C6" s="105" t="s">
        <v>905</v>
      </c>
      <c r="D6" s="105" t="s">
        <v>904</v>
      </c>
      <c r="E6" s="105" t="s">
        <v>140</v>
      </c>
      <c r="F6" s="105" t="s">
        <v>27</v>
      </c>
    </row>
    <row r="7" spans="1:6" x14ac:dyDescent="0.25">
      <c r="A7" s="105" t="s">
        <v>711</v>
      </c>
      <c r="B7" s="105" t="s">
        <v>714</v>
      </c>
      <c r="C7" s="105" t="s">
        <v>715</v>
      </c>
      <c r="D7" s="105" t="s">
        <v>139</v>
      </c>
      <c r="E7" s="105" t="s">
        <v>140</v>
      </c>
      <c r="F7" s="105" t="s">
        <v>27</v>
      </c>
    </row>
    <row r="8" spans="1:6" x14ac:dyDescent="0.25">
      <c r="A8" s="105" t="s">
        <v>900</v>
      </c>
      <c r="B8" s="105" t="s">
        <v>916</v>
      </c>
      <c r="C8" s="105" t="s">
        <v>906</v>
      </c>
      <c r="D8" s="105" t="s">
        <v>904</v>
      </c>
      <c r="E8" s="105" t="s">
        <v>140</v>
      </c>
      <c r="F8" s="105" t="s">
        <v>27</v>
      </c>
    </row>
    <row r="9" spans="1:6" x14ac:dyDescent="0.25">
      <c r="A9" s="105" t="s">
        <v>901</v>
      </c>
      <c r="B9" s="105" t="s">
        <v>917</v>
      </c>
      <c r="C9" s="105" t="s">
        <v>906</v>
      </c>
      <c r="D9" s="105" t="s">
        <v>904</v>
      </c>
      <c r="E9" s="105" t="s">
        <v>140</v>
      </c>
      <c r="F9" s="105" t="s">
        <v>27</v>
      </c>
    </row>
    <row r="10" spans="1:6" x14ac:dyDescent="0.25">
      <c r="A10" s="105" t="s">
        <v>902</v>
      </c>
      <c r="B10" s="105" t="s">
        <v>918</v>
      </c>
      <c r="C10" s="105" t="s">
        <v>906</v>
      </c>
      <c r="D10" s="105" t="s">
        <v>904</v>
      </c>
      <c r="E10" s="105" t="s">
        <v>140</v>
      </c>
      <c r="F10" s="105" t="s">
        <v>27</v>
      </c>
    </row>
    <row r="11" spans="1:6" x14ac:dyDescent="0.25">
      <c r="A11" s="105" t="s">
        <v>903</v>
      </c>
      <c r="B11" s="105" t="s">
        <v>919</v>
      </c>
      <c r="C11" s="105" t="s">
        <v>906</v>
      </c>
      <c r="D11" s="105" t="s">
        <v>904</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712</v>
      </c>
      <c r="B13" s="105" t="s">
        <v>713</v>
      </c>
      <c r="C13" s="105" t="s">
        <v>716</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s="382" customFormat="1" ht="44.25" customHeight="1" x14ac:dyDescent="0.25">
      <c r="A34" s="383" t="s">
        <v>920</v>
      </c>
      <c r="B34" s="384" t="s">
        <v>922</v>
      </c>
      <c r="C34" s="383" t="s">
        <v>921</v>
      </c>
      <c r="D34" s="383" t="s">
        <v>166</v>
      </c>
      <c r="E34" s="383" t="s">
        <v>10</v>
      </c>
      <c r="F34" s="385" t="s">
        <v>10</v>
      </c>
    </row>
    <row r="35" spans="1:6" x14ac:dyDescent="0.25">
      <c r="A35" s="107" t="s">
        <v>113</v>
      </c>
      <c r="B35" s="108" t="s">
        <v>227</v>
      </c>
      <c r="C35" s="107" t="s">
        <v>177</v>
      </c>
      <c r="D35" s="109" t="s">
        <v>178</v>
      </c>
      <c r="E35" s="107" t="s">
        <v>140</v>
      </c>
      <c r="F35" s="109" t="s">
        <v>179</v>
      </c>
    </row>
    <row r="36" spans="1:6" x14ac:dyDescent="0.25">
      <c r="A36" s="107" t="s">
        <v>123</v>
      </c>
      <c r="B36" s="108" t="s">
        <v>228</v>
      </c>
      <c r="C36" s="107" t="s">
        <v>177</v>
      </c>
      <c r="D36" s="109" t="s">
        <v>178</v>
      </c>
      <c r="E36" s="107" t="s">
        <v>140</v>
      </c>
      <c r="F36" s="109" t="s">
        <v>179</v>
      </c>
    </row>
    <row r="37" spans="1:6" x14ac:dyDescent="0.25">
      <c r="A37" s="107" t="s">
        <v>180</v>
      </c>
      <c r="B37" s="108" t="s">
        <v>229</v>
      </c>
      <c r="C37" s="107" t="s">
        <v>177</v>
      </c>
      <c r="D37" s="109" t="s">
        <v>178</v>
      </c>
      <c r="E37" s="107" t="s">
        <v>140</v>
      </c>
      <c r="F37" s="109" t="s">
        <v>179</v>
      </c>
    </row>
    <row r="38" spans="1:6" x14ac:dyDescent="0.25">
      <c r="A38" s="107" t="s">
        <v>181</v>
      </c>
      <c r="B38" s="108" t="s">
        <v>230</v>
      </c>
      <c r="C38" s="107" t="s">
        <v>177</v>
      </c>
      <c r="D38" s="109" t="s">
        <v>178</v>
      </c>
      <c r="E38" s="107" t="s">
        <v>140</v>
      </c>
      <c r="F38" s="109" t="s">
        <v>179</v>
      </c>
    </row>
    <row r="39" spans="1:6" x14ac:dyDescent="0.25">
      <c r="A39" s="107" t="s">
        <v>129</v>
      </c>
      <c r="B39" s="108" t="s">
        <v>231</v>
      </c>
      <c r="C39" s="107" t="s">
        <v>177</v>
      </c>
      <c r="D39" s="109" t="s">
        <v>178</v>
      </c>
      <c r="E39" s="107" t="s">
        <v>140</v>
      </c>
      <c r="F39" s="109" t="s">
        <v>179</v>
      </c>
    </row>
    <row r="40" spans="1:6" x14ac:dyDescent="0.25">
      <c r="A40" s="107" t="s">
        <v>182</v>
      </c>
      <c r="B40" s="108" t="s">
        <v>232</v>
      </c>
      <c r="C40" s="107" t="s">
        <v>177</v>
      </c>
      <c r="D40" s="109" t="s">
        <v>178</v>
      </c>
      <c r="E40" s="107" t="s">
        <v>140</v>
      </c>
      <c r="F40" s="109" t="s">
        <v>179</v>
      </c>
    </row>
    <row r="41" spans="1:6" x14ac:dyDescent="0.25">
      <c r="A41" s="107" t="s">
        <v>183</v>
      </c>
      <c r="B41" s="108" t="s">
        <v>233</v>
      </c>
      <c r="C41" s="107" t="s">
        <v>177</v>
      </c>
      <c r="D41" s="109" t="s">
        <v>178</v>
      </c>
      <c r="E41" s="107" t="s">
        <v>140</v>
      </c>
      <c r="F41" s="109" t="s">
        <v>179</v>
      </c>
    </row>
    <row r="42" spans="1:6" x14ac:dyDescent="0.25">
      <c r="A42" s="107" t="s">
        <v>184</v>
      </c>
      <c r="B42" s="108" t="s">
        <v>234</v>
      </c>
      <c r="C42" s="107" t="s">
        <v>177</v>
      </c>
      <c r="D42" s="109" t="s">
        <v>178</v>
      </c>
      <c r="E42" s="107" t="s">
        <v>140</v>
      </c>
      <c r="F42" s="109" t="s">
        <v>179</v>
      </c>
    </row>
    <row r="43" spans="1:6" x14ac:dyDescent="0.25">
      <c r="A43" s="107" t="s">
        <v>185</v>
      </c>
      <c r="B43" s="108" t="s">
        <v>235</v>
      </c>
      <c r="C43" s="107" t="s">
        <v>177</v>
      </c>
      <c r="D43" s="109" t="s">
        <v>178</v>
      </c>
      <c r="E43" s="107" t="s">
        <v>140</v>
      </c>
      <c r="F43" s="109" t="s">
        <v>179</v>
      </c>
    </row>
    <row r="44" spans="1:6" x14ac:dyDescent="0.25">
      <c r="A44" s="107" t="s">
        <v>186</v>
      </c>
      <c r="B44" s="108" t="s">
        <v>236</v>
      </c>
      <c r="C44" s="107" t="s">
        <v>177</v>
      </c>
      <c r="D44" s="109" t="s">
        <v>178</v>
      </c>
      <c r="E44" s="107" t="s">
        <v>140</v>
      </c>
      <c r="F44" s="109" t="s">
        <v>179</v>
      </c>
    </row>
    <row r="45" spans="1:6" ht="30" x14ac:dyDescent="0.25">
      <c r="A45" s="107" t="s">
        <v>187</v>
      </c>
      <c r="B45" s="108" t="s">
        <v>188</v>
      </c>
      <c r="C45" s="107" t="s">
        <v>169</v>
      </c>
      <c r="D45" s="107" t="s">
        <v>166</v>
      </c>
      <c r="E45" s="107" t="s">
        <v>170</v>
      </c>
      <c r="F45" s="109" t="s">
        <v>10</v>
      </c>
    </row>
    <row r="46" spans="1:6" ht="30" x14ac:dyDescent="0.25">
      <c r="A46" s="107" t="s">
        <v>189</v>
      </c>
      <c r="B46" s="108" t="s">
        <v>190</v>
      </c>
      <c r="C46" s="107" t="s">
        <v>169</v>
      </c>
      <c r="D46" s="107" t="s">
        <v>166</v>
      </c>
      <c r="E46" s="107" t="s">
        <v>170</v>
      </c>
      <c r="F46" s="109" t="s">
        <v>10</v>
      </c>
    </row>
    <row r="47" spans="1:6" ht="30" x14ac:dyDescent="0.25">
      <c r="A47" s="107" t="s">
        <v>191</v>
      </c>
      <c r="B47" s="108" t="s">
        <v>192</v>
      </c>
      <c r="C47" s="107" t="s">
        <v>169</v>
      </c>
      <c r="D47" s="107" t="s">
        <v>166</v>
      </c>
      <c r="E47" s="107" t="s">
        <v>170</v>
      </c>
      <c r="F47" s="109" t="s">
        <v>10</v>
      </c>
    </row>
    <row r="48" spans="1:6" ht="30" x14ac:dyDescent="0.25">
      <c r="A48" s="107" t="s">
        <v>193</v>
      </c>
      <c r="B48" s="108" t="s">
        <v>194</v>
      </c>
      <c r="C48" s="107" t="s">
        <v>169</v>
      </c>
      <c r="D48" s="107" t="s">
        <v>166</v>
      </c>
      <c r="E48" s="107" t="s">
        <v>170</v>
      </c>
      <c r="F48" s="109" t="s">
        <v>10</v>
      </c>
    </row>
    <row r="49" spans="1:6" ht="30" x14ac:dyDescent="0.25">
      <c r="A49" s="107" t="s">
        <v>195</v>
      </c>
      <c r="B49" s="108" t="s">
        <v>196</v>
      </c>
      <c r="C49" s="107" t="s">
        <v>169</v>
      </c>
      <c r="D49" s="107" t="s">
        <v>166</v>
      </c>
      <c r="E49" s="107" t="s">
        <v>170</v>
      </c>
      <c r="F49" s="109" t="s">
        <v>10</v>
      </c>
    </row>
    <row r="50" spans="1:6" ht="30" x14ac:dyDescent="0.25">
      <c r="A50" s="107" t="s">
        <v>197</v>
      </c>
      <c r="B50" s="108" t="s">
        <v>198</v>
      </c>
      <c r="C50" s="107" t="s">
        <v>169</v>
      </c>
      <c r="D50" s="107" t="s">
        <v>166</v>
      </c>
      <c r="E50" s="107" t="s">
        <v>170</v>
      </c>
      <c r="F50" s="109" t="s">
        <v>10</v>
      </c>
    </row>
    <row r="51" spans="1:6" ht="30" x14ac:dyDescent="0.25">
      <c r="A51" s="107" t="s">
        <v>199</v>
      </c>
      <c r="B51" s="108" t="s">
        <v>200</v>
      </c>
      <c r="C51" s="107" t="s">
        <v>169</v>
      </c>
      <c r="D51" s="107" t="s">
        <v>166</v>
      </c>
      <c r="E51" s="107" t="s">
        <v>170</v>
      </c>
      <c r="F51" s="109" t="s">
        <v>10</v>
      </c>
    </row>
    <row r="52" spans="1:6" ht="30" x14ac:dyDescent="0.25">
      <c r="A52" s="107" t="s">
        <v>201</v>
      </c>
      <c r="B52" s="108" t="s">
        <v>202</v>
      </c>
      <c r="C52" s="107" t="s">
        <v>169</v>
      </c>
      <c r="D52" s="107" t="s">
        <v>166</v>
      </c>
      <c r="E52" s="107" t="s">
        <v>170</v>
      </c>
      <c r="F52" s="109" t="s">
        <v>10</v>
      </c>
    </row>
    <row r="53" spans="1:6" ht="30" x14ac:dyDescent="0.25">
      <c r="A53" s="107" t="s">
        <v>203</v>
      </c>
      <c r="B53" s="108" t="s">
        <v>204</v>
      </c>
      <c r="C53" s="107" t="s">
        <v>169</v>
      </c>
      <c r="D53" s="107" t="s">
        <v>166</v>
      </c>
      <c r="E53" s="107" t="s">
        <v>170</v>
      </c>
      <c r="F53" s="109" t="s">
        <v>10</v>
      </c>
    </row>
    <row r="54" spans="1:6" ht="30" x14ac:dyDescent="0.25">
      <c r="A54" s="107" t="s">
        <v>205</v>
      </c>
      <c r="B54" s="108" t="s">
        <v>206</v>
      </c>
      <c r="C54" s="107" t="s">
        <v>169</v>
      </c>
      <c r="D54" s="107" t="s">
        <v>166</v>
      </c>
      <c r="E54" s="107" t="s">
        <v>170</v>
      </c>
      <c r="F54" s="109" t="s">
        <v>10</v>
      </c>
    </row>
    <row r="55" spans="1:6" ht="30" x14ac:dyDescent="0.25">
      <c r="A55" s="110" t="s">
        <v>120</v>
      </c>
      <c r="B55" s="111" t="s">
        <v>207</v>
      </c>
      <c r="C55" s="110" t="s">
        <v>166</v>
      </c>
      <c r="D55" s="110" t="s">
        <v>166</v>
      </c>
      <c r="E55" s="110" t="s">
        <v>166</v>
      </c>
      <c r="F55" s="110" t="s">
        <v>166</v>
      </c>
    </row>
    <row r="56" spans="1:6" x14ac:dyDescent="0.25">
      <c r="A56" s="110" t="s">
        <v>208</v>
      </c>
      <c r="B56" s="111" t="s">
        <v>209</v>
      </c>
      <c r="C56" s="110" t="s">
        <v>166</v>
      </c>
      <c r="D56" s="110" t="s">
        <v>166</v>
      </c>
      <c r="E56" s="110" t="s">
        <v>166</v>
      </c>
      <c r="F56"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82"/>
  <sheetViews>
    <sheetView zoomScaleNormal="100" workbookViewId="0">
      <pane ySplit="1" topLeftCell="A158" activePane="bottomLeft" state="frozen"/>
      <selection pane="bottomLeft" activeCell="D193" sqref="D193"/>
    </sheetView>
  </sheetViews>
  <sheetFormatPr defaultRowHeight="15" x14ac:dyDescent="0.25"/>
  <cols>
    <col min="2" max="3" width="39.7109375" customWidth="1"/>
    <col min="4" max="4" width="127.7109375" style="144" customWidth="1"/>
  </cols>
  <sheetData>
    <row r="1" spans="1:4" ht="15.75" thickBot="1" x14ac:dyDescent="0.3">
      <c r="A1" s="327" t="s">
        <v>89</v>
      </c>
      <c r="B1" s="13" t="s">
        <v>92</v>
      </c>
      <c r="C1" s="328" t="s">
        <v>478</v>
      </c>
      <c r="D1" s="332" t="s">
        <v>0</v>
      </c>
    </row>
    <row r="2" spans="1:4" ht="15" customHeight="1" x14ac:dyDescent="0.25">
      <c r="A2" s="325">
        <v>1</v>
      </c>
      <c r="B2" s="325" t="s">
        <v>548</v>
      </c>
      <c r="C2" s="415" t="s">
        <v>361</v>
      </c>
      <c r="D2" s="146" t="s">
        <v>362</v>
      </c>
    </row>
    <row r="3" spans="1:4" x14ac:dyDescent="0.25">
      <c r="A3" s="326">
        <v>2</v>
      </c>
      <c r="B3" s="326" t="s">
        <v>549</v>
      </c>
      <c r="C3" s="416"/>
      <c r="D3" s="139" t="s">
        <v>363</v>
      </c>
    </row>
    <row r="4" spans="1:4" x14ac:dyDescent="0.25">
      <c r="A4" s="326">
        <v>3</v>
      </c>
      <c r="B4" s="326" t="s">
        <v>550</v>
      </c>
      <c r="C4" s="416"/>
      <c r="D4" s="139" t="s">
        <v>10</v>
      </c>
    </row>
    <row r="5" spans="1:4" x14ac:dyDescent="0.25">
      <c r="A5" s="326">
        <v>4</v>
      </c>
      <c r="B5" s="326" t="s">
        <v>551</v>
      </c>
      <c r="C5" s="416"/>
      <c r="D5" s="139" t="s">
        <v>10</v>
      </c>
    </row>
    <row r="6" spans="1:4" x14ac:dyDescent="0.25">
      <c r="A6" s="326">
        <v>5</v>
      </c>
      <c r="B6" s="326" t="s">
        <v>552</v>
      </c>
      <c r="C6" s="416"/>
      <c r="D6" s="139" t="s">
        <v>10</v>
      </c>
    </row>
    <row r="7" spans="1:4" x14ac:dyDescent="0.25">
      <c r="A7" s="326">
        <v>6</v>
      </c>
      <c r="B7" s="326" t="s">
        <v>553</v>
      </c>
      <c r="C7" s="416"/>
      <c r="D7" s="139" t="s">
        <v>10</v>
      </c>
    </row>
    <row r="8" spans="1:4" x14ac:dyDescent="0.25">
      <c r="A8" s="326">
        <v>7</v>
      </c>
      <c r="B8" s="326" t="s">
        <v>554</v>
      </c>
      <c r="C8" s="416"/>
      <c r="D8" s="139" t="s">
        <v>10</v>
      </c>
    </row>
    <row r="9" spans="1:4" x14ac:dyDescent="0.25">
      <c r="A9" s="326">
        <v>8</v>
      </c>
      <c r="B9" s="326" t="s">
        <v>555</v>
      </c>
      <c r="C9" s="416"/>
      <c r="D9" s="139" t="s">
        <v>10</v>
      </c>
    </row>
    <row r="10" spans="1:4" x14ac:dyDescent="0.25">
      <c r="A10" s="326">
        <v>9</v>
      </c>
      <c r="B10" s="326" t="s">
        <v>557</v>
      </c>
      <c r="C10" s="416"/>
      <c r="D10" s="139" t="s">
        <v>10</v>
      </c>
    </row>
    <row r="11" spans="1:4" ht="15.75" thickBot="1" x14ac:dyDescent="0.3">
      <c r="A11" s="205">
        <v>10</v>
      </c>
      <c r="B11" s="205" t="s">
        <v>556</v>
      </c>
      <c r="C11" s="417"/>
      <c r="D11" s="143" t="s">
        <v>10</v>
      </c>
    </row>
    <row r="12" spans="1:4" x14ac:dyDescent="0.25">
      <c r="A12" s="129">
        <v>11</v>
      </c>
      <c r="B12" s="129" t="s">
        <v>558</v>
      </c>
      <c r="C12" s="415" t="s">
        <v>364</v>
      </c>
      <c r="D12" s="146" t="s">
        <v>365</v>
      </c>
    </row>
    <row r="13" spans="1:4" x14ac:dyDescent="0.25">
      <c r="A13" s="130">
        <v>12</v>
      </c>
      <c r="B13" s="130" t="s">
        <v>559</v>
      </c>
      <c r="C13" s="416"/>
      <c r="D13" s="139" t="s">
        <v>366</v>
      </c>
    </row>
    <row r="14" spans="1:4" x14ac:dyDescent="0.25">
      <c r="A14" s="130">
        <v>13</v>
      </c>
      <c r="B14" s="130" t="s">
        <v>560</v>
      </c>
      <c r="C14" s="416"/>
      <c r="D14" s="139" t="s">
        <v>10</v>
      </c>
    </row>
    <row r="15" spans="1:4" x14ac:dyDescent="0.25">
      <c r="A15" s="130">
        <v>14</v>
      </c>
      <c r="B15" s="130" t="s">
        <v>561</v>
      </c>
      <c r="C15" s="416"/>
      <c r="D15" s="139" t="s">
        <v>10</v>
      </c>
    </row>
    <row r="16" spans="1:4" x14ac:dyDescent="0.25">
      <c r="A16" s="130">
        <v>15</v>
      </c>
      <c r="B16" s="130" t="s">
        <v>562</v>
      </c>
      <c r="C16" s="416"/>
      <c r="D16" s="139" t="s">
        <v>10</v>
      </c>
    </row>
    <row r="17" spans="1:4" ht="15.75" thickBot="1" x14ac:dyDescent="0.3">
      <c r="A17" s="131">
        <v>16</v>
      </c>
      <c r="B17" s="131" t="s">
        <v>563</v>
      </c>
      <c r="C17" s="417"/>
      <c r="D17" s="143" t="s">
        <v>10</v>
      </c>
    </row>
    <row r="18" spans="1:4" x14ac:dyDescent="0.25">
      <c r="A18" s="132">
        <v>17</v>
      </c>
      <c r="B18" s="132" t="s">
        <v>564</v>
      </c>
      <c r="C18" s="415" t="s">
        <v>107</v>
      </c>
      <c r="D18" s="146" t="s">
        <v>367</v>
      </c>
    </row>
    <row r="19" spans="1:4" x14ac:dyDescent="0.25">
      <c r="A19" s="134">
        <v>18</v>
      </c>
      <c r="B19" s="134" t="s">
        <v>565</v>
      </c>
      <c r="C19" s="416"/>
      <c r="D19" s="139" t="s">
        <v>923</v>
      </c>
    </row>
    <row r="20" spans="1:4" x14ac:dyDescent="0.25">
      <c r="A20" s="133">
        <v>19</v>
      </c>
      <c r="B20" s="133" t="s">
        <v>566</v>
      </c>
      <c r="C20" s="416"/>
      <c r="D20" s="139" t="s">
        <v>368</v>
      </c>
    </row>
    <row r="21" spans="1:4" x14ac:dyDescent="0.25">
      <c r="A21" s="133">
        <v>20</v>
      </c>
      <c r="B21" s="133" t="s">
        <v>567</v>
      </c>
      <c r="C21" s="416"/>
      <c r="D21" s="139" t="s">
        <v>369</v>
      </c>
    </row>
    <row r="22" spans="1:4" x14ac:dyDescent="0.25">
      <c r="A22" s="133">
        <v>21</v>
      </c>
      <c r="B22" s="133" t="s">
        <v>568</v>
      </c>
      <c r="C22" s="416"/>
      <c r="D22" s="139" t="s">
        <v>370</v>
      </c>
    </row>
    <row r="23" spans="1:4" x14ac:dyDescent="0.25">
      <c r="A23" s="133">
        <v>22</v>
      </c>
      <c r="B23" s="133" t="s">
        <v>569</v>
      </c>
      <c r="C23" s="416"/>
      <c r="D23" s="139" t="s">
        <v>371</v>
      </c>
    </row>
    <row r="24" spans="1:4" x14ac:dyDescent="0.25">
      <c r="A24" s="133">
        <v>23</v>
      </c>
      <c r="B24" s="133" t="s">
        <v>570</v>
      </c>
      <c r="C24" s="416"/>
      <c r="D24" s="139" t="s">
        <v>10</v>
      </c>
    </row>
    <row r="25" spans="1:4" x14ac:dyDescent="0.25">
      <c r="A25" s="133">
        <v>24</v>
      </c>
      <c r="B25" s="133" t="s">
        <v>571</v>
      </c>
      <c r="C25" s="416"/>
      <c r="D25" s="139" t="s">
        <v>372</v>
      </c>
    </row>
    <row r="26" spans="1:4" x14ac:dyDescent="0.25">
      <c r="A26" s="133">
        <v>25</v>
      </c>
      <c r="B26" s="133" t="s">
        <v>572</v>
      </c>
      <c r="C26" s="416"/>
      <c r="D26" s="139" t="s">
        <v>10</v>
      </c>
    </row>
    <row r="27" spans="1:4" ht="15" customHeight="1" x14ac:dyDescent="0.25">
      <c r="A27" s="134">
        <v>26</v>
      </c>
      <c r="B27" s="134" t="s">
        <v>632</v>
      </c>
      <c r="C27" s="416"/>
      <c r="D27" s="139" t="s">
        <v>373</v>
      </c>
    </row>
    <row r="28" spans="1:4" ht="15.75" thickBot="1" x14ac:dyDescent="0.3">
      <c r="A28" s="134">
        <v>27</v>
      </c>
      <c r="B28" s="134" t="s">
        <v>633</v>
      </c>
      <c r="C28" s="417"/>
      <c r="D28" s="139" t="s">
        <v>374</v>
      </c>
    </row>
    <row r="29" spans="1:4" ht="30" customHeight="1" x14ac:dyDescent="0.25">
      <c r="A29" s="136">
        <v>28</v>
      </c>
      <c r="B29" s="136" t="s">
        <v>573</v>
      </c>
      <c r="C29" s="415" t="s">
        <v>375</v>
      </c>
      <c r="D29" s="146" t="s">
        <v>376</v>
      </c>
    </row>
    <row r="30" spans="1:4" ht="60" x14ac:dyDescent="0.25">
      <c r="A30" s="137">
        <v>29</v>
      </c>
      <c r="B30" s="137" t="s">
        <v>574</v>
      </c>
      <c r="C30" s="416"/>
      <c r="D30" s="139" t="s">
        <v>487</v>
      </c>
    </row>
    <row r="31" spans="1:4" x14ac:dyDescent="0.25">
      <c r="A31" s="138">
        <v>30</v>
      </c>
      <c r="B31" s="138" t="s">
        <v>575</v>
      </c>
      <c r="C31" s="416"/>
      <c r="D31" s="139" t="s">
        <v>377</v>
      </c>
    </row>
    <row r="32" spans="1:4" x14ac:dyDescent="0.25">
      <c r="A32" s="138">
        <v>31</v>
      </c>
      <c r="B32" s="138" t="s">
        <v>576</v>
      </c>
      <c r="C32" s="416"/>
      <c r="D32" s="139" t="s">
        <v>378</v>
      </c>
    </row>
    <row r="33" spans="1:8" ht="45" x14ac:dyDescent="0.25">
      <c r="A33" s="138">
        <v>32</v>
      </c>
      <c r="B33" s="138" t="s">
        <v>577</v>
      </c>
      <c r="C33" s="416"/>
      <c r="D33" s="139" t="s">
        <v>379</v>
      </c>
    </row>
    <row r="34" spans="1:8" x14ac:dyDescent="0.25">
      <c r="A34" s="137">
        <v>33</v>
      </c>
      <c r="B34" s="137" t="s">
        <v>578</v>
      </c>
      <c r="C34" s="416"/>
      <c r="D34" s="139" t="s">
        <v>380</v>
      </c>
    </row>
    <row r="35" spans="1:8" x14ac:dyDescent="0.25">
      <c r="A35" s="138">
        <v>34</v>
      </c>
      <c r="B35" s="138" t="s">
        <v>579</v>
      </c>
      <c r="C35" s="416"/>
      <c r="D35" s="139" t="s">
        <v>381</v>
      </c>
    </row>
    <row r="36" spans="1:8" x14ac:dyDescent="0.25">
      <c r="A36" s="137">
        <v>35</v>
      </c>
      <c r="B36" s="137" t="s">
        <v>580</v>
      </c>
      <c r="C36" s="416"/>
      <c r="D36" s="139" t="s">
        <v>381</v>
      </c>
    </row>
    <row r="37" spans="1:8" x14ac:dyDescent="0.25">
      <c r="A37" s="138">
        <v>36</v>
      </c>
      <c r="B37" s="138" t="s">
        <v>581</v>
      </c>
      <c r="C37" s="416"/>
      <c r="D37" s="139" t="s">
        <v>382</v>
      </c>
    </row>
    <row r="38" spans="1:8" x14ac:dyDescent="0.25">
      <c r="A38" s="137">
        <v>37</v>
      </c>
      <c r="B38" s="137" t="s">
        <v>582</v>
      </c>
      <c r="C38" s="416"/>
      <c r="D38" s="139" t="s">
        <v>382</v>
      </c>
    </row>
    <row r="39" spans="1:8" ht="45" x14ac:dyDescent="0.25">
      <c r="A39" s="138">
        <v>38</v>
      </c>
      <c r="B39" s="138" t="s">
        <v>583</v>
      </c>
      <c r="C39" s="416"/>
      <c r="D39" s="139" t="s">
        <v>483</v>
      </c>
    </row>
    <row r="40" spans="1:8" ht="15" customHeight="1" x14ac:dyDescent="0.25">
      <c r="A40" s="137">
        <v>39</v>
      </c>
      <c r="B40" s="137" t="s">
        <v>584</v>
      </c>
      <c r="C40" s="416"/>
      <c r="D40" s="139" t="s">
        <v>383</v>
      </c>
    </row>
    <row r="41" spans="1:8" x14ac:dyDescent="0.25">
      <c r="A41" s="138">
        <v>40</v>
      </c>
      <c r="B41" s="138" t="s">
        <v>585</v>
      </c>
      <c r="C41" s="416"/>
      <c r="D41" s="139" t="s">
        <v>384</v>
      </c>
    </row>
    <row r="42" spans="1:8" ht="75" x14ac:dyDescent="0.25">
      <c r="A42" s="137">
        <v>41</v>
      </c>
      <c r="B42" s="137" t="s">
        <v>586</v>
      </c>
      <c r="C42" s="416"/>
      <c r="D42" s="139" t="s">
        <v>385</v>
      </c>
    </row>
    <row r="43" spans="1:8" ht="30.75" thickBot="1" x14ac:dyDescent="0.3">
      <c r="A43" s="141">
        <v>42</v>
      </c>
      <c r="B43" s="141" t="s">
        <v>587</v>
      </c>
      <c r="C43" s="417"/>
      <c r="D43" s="143" t="s">
        <v>386</v>
      </c>
      <c r="H43" s="144"/>
    </row>
    <row r="44" spans="1:8" ht="30" customHeight="1" x14ac:dyDescent="0.25">
      <c r="A44" s="145">
        <v>43</v>
      </c>
      <c r="B44" s="145" t="s">
        <v>588</v>
      </c>
      <c r="C44" s="415" t="s">
        <v>387</v>
      </c>
      <c r="D44" s="146" t="s">
        <v>388</v>
      </c>
    </row>
    <row r="45" spans="1:8" x14ac:dyDescent="0.25">
      <c r="A45" s="147">
        <v>44</v>
      </c>
      <c r="B45" s="147" t="s">
        <v>589</v>
      </c>
      <c r="C45" s="416"/>
      <c r="D45" s="139" t="s">
        <v>10</v>
      </c>
    </row>
    <row r="46" spans="1:8" x14ac:dyDescent="0.25">
      <c r="A46" s="147">
        <v>45</v>
      </c>
      <c r="B46" s="147" t="s">
        <v>590</v>
      </c>
      <c r="C46" s="416"/>
      <c r="D46" s="139" t="s">
        <v>388</v>
      </c>
    </row>
    <row r="47" spans="1:8" ht="30" x14ac:dyDescent="0.25">
      <c r="A47" s="147">
        <v>46</v>
      </c>
      <c r="B47" s="147" t="s">
        <v>591</v>
      </c>
      <c r="C47" s="416"/>
      <c r="D47" s="139" t="s">
        <v>389</v>
      </c>
    </row>
    <row r="48" spans="1:8" x14ac:dyDescent="0.25">
      <c r="A48" s="147">
        <v>47</v>
      </c>
      <c r="B48" s="147" t="s">
        <v>592</v>
      </c>
      <c r="C48" s="416"/>
      <c r="D48" s="139" t="s">
        <v>10</v>
      </c>
    </row>
    <row r="49" spans="1:4" x14ac:dyDescent="0.25">
      <c r="A49" s="147">
        <v>48</v>
      </c>
      <c r="B49" s="147" t="s">
        <v>593</v>
      </c>
      <c r="C49" s="416"/>
      <c r="D49" s="139" t="s">
        <v>390</v>
      </c>
    </row>
    <row r="50" spans="1:4" x14ac:dyDescent="0.25">
      <c r="A50" s="147">
        <v>49</v>
      </c>
      <c r="B50" s="147" t="s">
        <v>594</v>
      </c>
      <c r="C50" s="416"/>
      <c r="D50" s="139" t="s">
        <v>10</v>
      </c>
    </row>
    <row r="51" spans="1:4" ht="30" x14ac:dyDescent="0.25">
      <c r="A51" s="147">
        <v>50</v>
      </c>
      <c r="B51" s="147" t="s">
        <v>595</v>
      </c>
      <c r="C51" s="416"/>
      <c r="D51" s="139" t="s">
        <v>488</v>
      </c>
    </row>
    <row r="52" spans="1:4" ht="30" x14ac:dyDescent="0.25">
      <c r="A52" s="147">
        <v>51</v>
      </c>
      <c r="B52" s="147" t="s">
        <v>596</v>
      </c>
      <c r="C52" s="416"/>
      <c r="D52" s="139" t="s">
        <v>389</v>
      </c>
    </row>
    <row r="53" spans="1:4" ht="15.75" thickBot="1" x14ac:dyDescent="0.3">
      <c r="A53" s="148">
        <v>52</v>
      </c>
      <c r="B53" s="148" t="s">
        <v>597</v>
      </c>
      <c r="C53" s="417"/>
      <c r="D53" s="143" t="s">
        <v>10</v>
      </c>
    </row>
    <row r="54" spans="1:4" ht="45" x14ac:dyDescent="0.25">
      <c r="A54" s="149">
        <v>53</v>
      </c>
      <c r="B54" s="149" t="s">
        <v>598</v>
      </c>
      <c r="C54" s="415" t="s">
        <v>391</v>
      </c>
      <c r="D54" s="139" t="s">
        <v>392</v>
      </c>
    </row>
    <row r="55" spans="1:4" x14ac:dyDescent="0.25">
      <c r="A55" s="149">
        <v>54</v>
      </c>
      <c r="B55" s="149" t="s">
        <v>599</v>
      </c>
      <c r="C55" s="416"/>
      <c r="D55" s="139" t="s">
        <v>393</v>
      </c>
    </row>
    <row r="56" spans="1:4" x14ac:dyDescent="0.25">
      <c r="A56" s="149">
        <v>55</v>
      </c>
      <c r="B56" s="149" t="s">
        <v>733</v>
      </c>
      <c r="C56" s="416"/>
      <c r="D56" s="139" t="s">
        <v>394</v>
      </c>
    </row>
    <row r="57" spans="1:4" ht="15.75" thickBot="1" x14ac:dyDescent="0.3">
      <c r="A57" s="149">
        <v>56</v>
      </c>
      <c r="B57" s="149" t="s">
        <v>722</v>
      </c>
      <c r="C57" s="417"/>
      <c r="D57" s="139" t="s">
        <v>395</v>
      </c>
    </row>
    <row r="58" spans="1:4" ht="30" x14ac:dyDescent="0.25">
      <c r="A58" s="194">
        <v>57</v>
      </c>
      <c r="B58" s="194" t="s">
        <v>728</v>
      </c>
      <c r="C58" s="415" t="s">
        <v>925</v>
      </c>
      <c r="D58" s="146" t="s">
        <v>942</v>
      </c>
    </row>
    <row r="59" spans="1:4" ht="30" x14ac:dyDescent="0.25">
      <c r="A59" s="236">
        <v>58</v>
      </c>
      <c r="B59" s="236" t="s">
        <v>729</v>
      </c>
      <c r="C59" s="416"/>
      <c r="D59" s="238" t="s">
        <v>943</v>
      </c>
    </row>
    <row r="60" spans="1:4" ht="105.75" thickBot="1" x14ac:dyDescent="0.3">
      <c r="A60" s="150">
        <v>59</v>
      </c>
      <c r="B60" s="150" t="s">
        <v>730</v>
      </c>
      <c r="C60" s="417"/>
      <c r="D60" s="143" t="s">
        <v>486</v>
      </c>
    </row>
    <row r="61" spans="1:4" x14ac:dyDescent="0.25">
      <c r="A61" s="151">
        <v>60</v>
      </c>
      <c r="B61" s="151" t="s">
        <v>600</v>
      </c>
      <c r="C61" s="415" t="s">
        <v>397</v>
      </c>
      <c r="D61" s="139" t="s">
        <v>398</v>
      </c>
    </row>
    <row r="62" spans="1:4" x14ac:dyDescent="0.25">
      <c r="A62" s="151">
        <v>61</v>
      </c>
      <c r="B62" s="151" t="s">
        <v>601</v>
      </c>
      <c r="C62" s="416"/>
      <c r="D62" s="139" t="s">
        <v>399</v>
      </c>
    </row>
    <row r="63" spans="1:4" x14ac:dyDescent="0.25">
      <c r="A63" s="151">
        <v>62</v>
      </c>
      <c r="B63" s="151" t="s">
        <v>602</v>
      </c>
      <c r="C63" s="416"/>
      <c r="D63" s="139" t="s">
        <v>400</v>
      </c>
    </row>
    <row r="64" spans="1:4" x14ac:dyDescent="0.25">
      <c r="A64" s="151">
        <v>63</v>
      </c>
      <c r="B64" s="151" t="s">
        <v>603</v>
      </c>
      <c r="C64" s="416"/>
      <c r="D64" s="139" t="s">
        <v>401</v>
      </c>
    </row>
    <row r="65" spans="1:4" x14ac:dyDescent="0.25">
      <c r="A65" s="151">
        <v>64</v>
      </c>
      <c r="B65" s="151" t="s">
        <v>604</v>
      </c>
      <c r="C65" s="416"/>
      <c r="D65" s="139" t="s">
        <v>402</v>
      </c>
    </row>
    <row r="66" spans="1:4" x14ac:dyDescent="0.25">
      <c r="A66" s="151">
        <v>65</v>
      </c>
      <c r="B66" s="151" t="s">
        <v>605</v>
      </c>
      <c r="C66" s="416"/>
      <c r="D66" s="139" t="s">
        <v>403</v>
      </c>
    </row>
    <row r="67" spans="1:4" x14ac:dyDescent="0.25">
      <c r="A67" s="151">
        <v>66</v>
      </c>
      <c r="B67" s="151" t="s">
        <v>606</v>
      </c>
      <c r="C67" s="416"/>
      <c r="D67" s="139" t="s">
        <v>404</v>
      </c>
    </row>
    <row r="68" spans="1:4" x14ac:dyDescent="0.25">
      <c r="A68" s="151">
        <v>67</v>
      </c>
      <c r="B68" s="151" t="s">
        <v>720</v>
      </c>
      <c r="C68" s="416"/>
      <c r="D68" s="139" t="s">
        <v>496</v>
      </c>
    </row>
    <row r="69" spans="1:4" x14ac:dyDescent="0.25">
      <c r="A69" s="201">
        <v>68</v>
      </c>
      <c r="B69" s="201" t="s">
        <v>721</v>
      </c>
      <c r="C69" s="416"/>
      <c r="D69" s="139" t="s">
        <v>497</v>
      </c>
    </row>
    <row r="70" spans="1:4" ht="15.75" thickBot="1" x14ac:dyDescent="0.3">
      <c r="A70" s="152">
        <v>69</v>
      </c>
      <c r="B70" s="152" t="s">
        <v>607</v>
      </c>
      <c r="C70" s="417"/>
      <c r="D70" s="143" t="s">
        <v>405</v>
      </c>
    </row>
    <row r="71" spans="1:4" x14ac:dyDescent="0.25">
      <c r="A71" s="154">
        <v>70</v>
      </c>
      <c r="B71" s="154" t="s">
        <v>608</v>
      </c>
      <c r="C71" s="415" t="s">
        <v>406</v>
      </c>
      <c r="D71" s="146" t="s">
        <v>941</v>
      </c>
    </row>
    <row r="72" spans="1:4" x14ac:dyDescent="0.25">
      <c r="A72" s="155">
        <v>71</v>
      </c>
      <c r="B72" s="155" t="s">
        <v>609</v>
      </c>
      <c r="C72" s="416"/>
      <c r="D72" s="139" t="s">
        <v>10</v>
      </c>
    </row>
    <row r="73" spans="1:4" x14ac:dyDescent="0.25">
      <c r="A73" s="155">
        <v>72</v>
      </c>
      <c r="B73" s="155" t="s">
        <v>610</v>
      </c>
      <c r="C73" s="416"/>
      <c r="D73" s="139" t="s">
        <v>10</v>
      </c>
    </row>
    <row r="74" spans="1:4" x14ac:dyDescent="0.25">
      <c r="A74" s="155">
        <v>73</v>
      </c>
      <c r="B74" s="155" t="s">
        <v>611</v>
      </c>
      <c r="C74" s="416"/>
      <c r="D74" s="139" t="s">
        <v>10</v>
      </c>
    </row>
    <row r="75" spans="1:4" x14ac:dyDescent="0.25">
      <c r="A75" s="155">
        <v>74</v>
      </c>
      <c r="B75" s="155" t="s">
        <v>612</v>
      </c>
      <c r="C75" s="416"/>
      <c r="D75" s="139" t="s">
        <v>10</v>
      </c>
    </row>
    <row r="76" spans="1:4" x14ac:dyDescent="0.25">
      <c r="A76" s="155">
        <v>75</v>
      </c>
      <c r="B76" s="155" t="s">
        <v>613</v>
      </c>
      <c r="C76" s="416"/>
      <c r="D76" s="139" t="s">
        <v>407</v>
      </c>
    </row>
    <row r="77" spans="1:4" x14ac:dyDescent="0.25">
      <c r="A77" s="155">
        <v>76</v>
      </c>
      <c r="B77" s="155" t="s">
        <v>614</v>
      </c>
      <c r="C77" s="416"/>
      <c r="D77" s="139" t="s">
        <v>10</v>
      </c>
    </row>
    <row r="78" spans="1:4" x14ac:dyDescent="0.25">
      <c r="A78" s="155">
        <v>77</v>
      </c>
      <c r="B78" s="155" t="s">
        <v>615</v>
      </c>
      <c r="C78" s="416"/>
      <c r="D78" s="139" t="s">
        <v>10</v>
      </c>
    </row>
    <row r="79" spans="1:4" x14ac:dyDescent="0.25">
      <c r="A79" s="155">
        <v>78</v>
      </c>
      <c r="B79" s="155" t="s">
        <v>616</v>
      </c>
      <c r="C79" s="416"/>
      <c r="D79" s="139" t="s">
        <v>10</v>
      </c>
    </row>
    <row r="80" spans="1:4" x14ac:dyDescent="0.25">
      <c r="A80" s="155">
        <v>79</v>
      </c>
      <c r="B80" s="155" t="s">
        <v>617</v>
      </c>
      <c r="C80" s="416"/>
      <c r="D80" s="139" t="s">
        <v>10</v>
      </c>
    </row>
    <row r="81" spans="1:4" x14ac:dyDescent="0.25">
      <c r="A81" s="155">
        <v>80</v>
      </c>
      <c r="B81" s="155" t="s">
        <v>618</v>
      </c>
      <c r="C81" s="416"/>
      <c r="D81" s="139" t="s">
        <v>10</v>
      </c>
    </row>
    <row r="82" spans="1:4" x14ac:dyDescent="0.25">
      <c r="A82" s="155">
        <v>81</v>
      </c>
      <c r="B82" s="155" t="s">
        <v>619</v>
      </c>
      <c r="C82" s="416"/>
      <c r="D82" s="139" t="s">
        <v>407</v>
      </c>
    </row>
    <row r="83" spans="1:4" x14ac:dyDescent="0.25">
      <c r="A83" s="155">
        <v>82</v>
      </c>
      <c r="B83" s="155" t="s">
        <v>620</v>
      </c>
      <c r="C83" s="416"/>
      <c r="D83" s="139" t="s">
        <v>10</v>
      </c>
    </row>
    <row r="84" spans="1:4" x14ac:dyDescent="0.25">
      <c r="A84" s="155">
        <v>83</v>
      </c>
      <c r="B84" s="155" t="s">
        <v>621</v>
      </c>
      <c r="C84" s="416"/>
      <c r="D84" s="139" t="s">
        <v>10</v>
      </c>
    </row>
    <row r="85" spans="1:4" x14ac:dyDescent="0.25">
      <c r="A85" s="156">
        <v>84</v>
      </c>
      <c r="B85" s="156" t="s">
        <v>622</v>
      </c>
      <c r="C85" s="416"/>
      <c r="D85" s="139" t="s">
        <v>10</v>
      </c>
    </row>
    <row r="86" spans="1:4" x14ac:dyDescent="0.25">
      <c r="A86" s="156">
        <v>85</v>
      </c>
      <c r="B86" s="156" t="s">
        <v>623</v>
      </c>
      <c r="C86" s="416"/>
      <c r="D86" s="139" t="s">
        <v>10</v>
      </c>
    </row>
    <row r="87" spans="1:4" x14ac:dyDescent="0.25">
      <c r="A87" s="156">
        <v>86</v>
      </c>
      <c r="B87" s="156" t="s">
        <v>624</v>
      </c>
      <c r="C87" s="416"/>
      <c r="D87" s="139" t="s">
        <v>10</v>
      </c>
    </row>
    <row r="88" spans="1:4" x14ac:dyDescent="0.25">
      <c r="A88" s="156">
        <v>87</v>
      </c>
      <c r="B88" s="156" t="s">
        <v>625</v>
      </c>
      <c r="C88" s="416"/>
      <c r="D88" s="139" t="s">
        <v>407</v>
      </c>
    </row>
    <row r="89" spans="1:4" x14ac:dyDescent="0.25">
      <c r="A89" s="156">
        <v>88</v>
      </c>
      <c r="B89" s="156" t="s">
        <v>626</v>
      </c>
      <c r="C89" s="416"/>
      <c r="D89" s="139" t="s">
        <v>940</v>
      </c>
    </row>
    <row r="90" spans="1:4" x14ac:dyDescent="0.25">
      <c r="A90" s="157">
        <v>89</v>
      </c>
      <c r="B90" s="157" t="s">
        <v>627</v>
      </c>
      <c r="C90" s="416"/>
      <c r="D90" s="139" t="s">
        <v>409</v>
      </c>
    </row>
    <row r="91" spans="1:4" x14ac:dyDescent="0.25">
      <c r="A91" s="157">
        <v>90</v>
      </c>
      <c r="B91" s="157" t="s">
        <v>628</v>
      </c>
      <c r="C91" s="416"/>
      <c r="D91" s="139" t="s">
        <v>410</v>
      </c>
    </row>
    <row r="92" spans="1:4" x14ac:dyDescent="0.25">
      <c r="A92" s="157">
        <v>91</v>
      </c>
      <c r="B92" s="157" t="s">
        <v>629</v>
      </c>
      <c r="C92" s="416"/>
      <c r="D92" s="139" t="s">
        <v>411</v>
      </c>
    </row>
    <row r="93" spans="1:4" x14ac:dyDescent="0.25">
      <c r="A93" s="157">
        <v>92</v>
      </c>
      <c r="B93" s="157" t="s">
        <v>630</v>
      </c>
      <c r="C93" s="416"/>
      <c r="D93" s="139" t="s">
        <v>412</v>
      </c>
    </row>
    <row r="94" spans="1:4" ht="15.75" thickBot="1" x14ac:dyDescent="0.3">
      <c r="A94" s="159">
        <v>93</v>
      </c>
      <c r="B94" s="159" t="s">
        <v>631</v>
      </c>
      <c r="C94" s="417"/>
      <c r="D94" s="143" t="s">
        <v>413</v>
      </c>
    </row>
    <row r="95" spans="1:4" x14ac:dyDescent="0.25">
      <c r="A95" s="160">
        <v>94</v>
      </c>
      <c r="B95" s="160" t="s">
        <v>634</v>
      </c>
      <c r="C95" s="415" t="s">
        <v>414</v>
      </c>
      <c r="D95" s="139" t="s">
        <v>415</v>
      </c>
    </row>
    <row r="96" spans="1:4" ht="15" customHeight="1" x14ac:dyDescent="0.25">
      <c r="A96" s="160">
        <v>95</v>
      </c>
      <c r="B96" s="160" t="s">
        <v>635</v>
      </c>
      <c r="C96" s="416"/>
      <c r="D96" s="237" t="s">
        <v>416</v>
      </c>
    </row>
    <row r="97" spans="1:4" ht="45" x14ac:dyDescent="0.25">
      <c r="A97" s="160">
        <v>96</v>
      </c>
      <c r="B97" s="160" t="s">
        <v>636</v>
      </c>
      <c r="C97" s="416"/>
      <c r="D97" s="161" t="s">
        <v>417</v>
      </c>
    </row>
    <row r="98" spans="1:4" ht="30.75" thickBot="1" x14ac:dyDescent="0.3">
      <c r="A98" s="162">
        <v>97</v>
      </c>
      <c r="B98" s="162" t="s">
        <v>637</v>
      </c>
      <c r="C98" s="417"/>
      <c r="D98" s="143" t="s">
        <v>418</v>
      </c>
    </row>
    <row r="99" spans="1:4" ht="30" x14ac:dyDescent="0.25">
      <c r="A99" s="145">
        <v>98</v>
      </c>
      <c r="B99" s="145" t="s">
        <v>638</v>
      </c>
      <c r="C99" s="415" t="s">
        <v>419</v>
      </c>
      <c r="D99" s="146" t="s">
        <v>420</v>
      </c>
    </row>
    <row r="100" spans="1:4" ht="30" x14ac:dyDescent="0.25">
      <c r="A100" s="147">
        <v>99</v>
      </c>
      <c r="B100" s="147" t="s">
        <v>639</v>
      </c>
      <c r="C100" s="416"/>
      <c r="D100" s="139" t="s">
        <v>421</v>
      </c>
    </row>
    <row r="101" spans="1:4" x14ac:dyDescent="0.25">
      <c r="A101" s="147">
        <v>100</v>
      </c>
      <c r="B101" s="147" t="s">
        <v>640</v>
      </c>
      <c r="C101" s="416"/>
      <c r="D101" s="139" t="s">
        <v>422</v>
      </c>
    </row>
    <row r="102" spans="1:4" x14ac:dyDescent="0.25">
      <c r="A102" s="147">
        <v>101</v>
      </c>
      <c r="B102" s="147" t="s">
        <v>641</v>
      </c>
      <c r="C102" s="416"/>
      <c r="D102" s="139" t="s">
        <v>423</v>
      </c>
    </row>
    <row r="103" spans="1:4" x14ac:dyDescent="0.25">
      <c r="A103" s="147">
        <v>102</v>
      </c>
      <c r="B103" s="147" t="s">
        <v>642</v>
      </c>
      <c r="C103" s="416"/>
      <c r="D103" s="139" t="s">
        <v>424</v>
      </c>
    </row>
    <row r="104" spans="1:4" ht="30" x14ac:dyDescent="0.25">
      <c r="A104" s="147">
        <v>103</v>
      </c>
      <c r="B104" s="147" t="s">
        <v>643</v>
      </c>
      <c r="C104" s="416"/>
      <c r="D104" s="139" t="s">
        <v>480</v>
      </c>
    </row>
    <row r="105" spans="1:4" x14ac:dyDescent="0.25">
      <c r="A105" s="147">
        <v>104</v>
      </c>
      <c r="B105" s="147" t="s">
        <v>644</v>
      </c>
      <c r="C105" s="416"/>
      <c r="D105" s="139" t="s">
        <v>498</v>
      </c>
    </row>
    <row r="106" spans="1:4" x14ac:dyDescent="0.25">
      <c r="A106" s="147">
        <v>105</v>
      </c>
      <c r="B106" s="147" t="s">
        <v>645</v>
      </c>
      <c r="C106" s="416"/>
      <c r="D106" s="139" t="s">
        <v>499</v>
      </c>
    </row>
    <row r="107" spans="1:4" x14ac:dyDescent="0.25">
      <c r="A107" s="147">
        <v>106</v>
      </c>
      <c r="B107" s="147" t="s">
        <v>646</v>
      </c>
      <c r="C107" s="416"/>
      <c r="D107" s="139" t="s">
        <v>500</v>
      </c>
    </row>
    <row r="108" spans="1:4" ht="30.75" thickBot="1" x14ac:dyDescent="0.3">
      <c r="A108" s="147">
        <v>107</v>
      </c>
      <c r="B108" s="147" t="s">
        <v>647</v>
      </c>
      <c r="C108" s="417"/>
      <c r="D108" s="139" t="s">
        <v>501</v>
      </c>
    </row>
    <row r="109" spans="1:4" ht="30" x14ac:dyDescent="0.25">
      <c r="A109" s="164">
        <v>108</v>
      </c>
      <c r="B109" s="164" t="s">
        <v>648</v>
      </c>
      <c r="C109" s="415" t="s">
        <v>425</v>
      </c>
      <c r="D109" s="146" t="s">
        <v>538</v>
      </c>
    </row>
    <row r="110" spans="1:4" ht="30" x14ac:dyDescent="0.25">
      <c r="A110" s="165">
        <v>109</v>
      </c>
      <c r="B110" s="165" t="s">
        <v>719</v>
      </c>
      <c r="C110" s="416"/>
      <c r="D110" s="139" t="s">
        <v>539</v>
      </c>
    </row>
    <row r="111" spans="1:4" x14ac:dyDescent="0.25">
      <c r="A111" s="165">
        <v>110</v>
      </c>
      <c r="B111" s="165" t="s">
        <v>649</v>
      </c>
      <c r="C111" s="416"/>
      <c r="D111" s="139" t="s">
        <v>426</v>
      </c>
    </row>
    <row r="112" spans="1:4" x14ac:dyDescent="0.25">
      <c r="A112" s="165">
        <v>111</v>
      </c>
      <c r="B112" s="165" t="s">
        <v>650</v>
      </c>
      <c r="C112" s="416"/>
      <c r="D112" s="139" t="s">
        <v>427</v>
      </c>
    </row>
    <row r="113" spans="1:4" x14ac:dyDescent="0.25">
      <c r="A113" s="165">
        <v>112</v>
      </c>
      <c r="B113" s="165" t="s">
        <v>651</v>
      </c>
      <c r="C113" s="416"/>
      <c r="D113" s="139" t="s">
        <v>427</v>
      </c>
    </row>
    <row r="114" spans="1:4" x14ac:dyDescent="0.25">
      <c r="A114" s="165">
        <v>113</v>
      </c>
      <c r="B114" s="165" t="s">
        <v>652</v>
      </c>
      <c r="C114" s="416"/>
      <c r="D114" s="139" t="s">
        <v>428</v>
      </c>
    </row>
    <row r="115" spans="1:4" ht="15.75" thickBot="1" x14ac:dyDescent="0.3">
      <c r="A115" s="167">
        <v>114</v>
      </c>
      <c r="B115" s="167" t="s">
        <v>653</v>
      </c>
      <c r="C115" s="417"/>
      <c r="D115" s="143" t="s">
        <v>428</v>
      </c>
    </row>
    <row r="116" spans="1:4" ht="30" x14ac:dyDescent="0.25">
      <c r="A116" s="168">
        <v>115</v>
      </c>
      <c r="B116" s="168" t="s">
        <v>654</v>
      </c>
      <c r="C116" s="415" t="s">
        <v>429</v>
      </c>
      <c r="D116" s="146" t="s">
        <v>430</v>
      </c>
    </row>
    <row r="117" spans="1:4" x14ac:dyDescent="0.25">
      <c r="A117" s="169">
        <v>116</v>
      </c>
      <c r="B117" s="169" t="s">
        <v>655</v>
      </c>
      <c r="C117" s="416"/>
      <c r="D117" s="139" t="s">
        <v>10</v>
      </c>
    </row>
    <row r="118" spans="1:4" x14ac:dyDescent="0.25">
      <c r="A118" s="169">
        <v>117</v>
      </c>
      <c r="B118" s="169" t="s">
        <v>656</v>
      </c>
      <c r="C118" s="416"/>
      <c r="D118" s="139" t="s">
        <v>10</v>
      </c>
    </row>
    <row r="119" spans="1:4" x14ac:dyDescent="0.25">
      <c r="A119" s="169">
        <v>118</v>
      </c>
      <c r="B119" s="169" t="s">
        <v>657</v>
      </c>
      <c r="C119" s="416"/>
      <c r="D119" s="139" t="s">
        <v>10</v>
      </c>
    </row>
    <row r="120" spans="1:4" x14ac:dyDescent="0.25">
      <c r="A120" s="169">
        <v>119</v>
      </c>
      <c r="B120" s="169" t="s">
        <v>658</v>
      </c>
      <c r="C120" s="416"/>
      <c r="D120" s="139" t="s">
        <v>10</v>
      </c>
    </row>
    <row r="121" spans="1:4" x14ac:dyDescent="0.25">
      <c r="A121" s="169">
        <v>120</v>
      </c>
      <c r="B121" s="169" t="s">
        <v>659</v>
      </c>
      <c r="C121" s="416"/>
      <c r="D121" s="139" t="s">
        <v>407</v>
      </c>
    </row>
    <row r="122" spans="1:4" x14ac:dyDescent="0.25">
      <c r="A122" s="169">
        <v>121</v>
      </c>
      <c r="B122" s="169" t="s">
        <v>660</v>
      </c>
      <c r="C122" s="416"/>
      <c r="D122" s="139" t="s">
        <v>10</v>
      </c>
    </row>
    <row r="123" spans="1:4" x14ac:dyDescent="0.25">
      <c r="A123" s="169">
        <v>122</v>
      </c>
      <c r="B123" s="169" t="s">
        <v>661</v>
      </c>
      <c r="C123" s="416"/>
      <c r="D123" s="139" t="s">
        <v>10</v>
      </c>
    </row>
    <row r="124" spans="1:4" x14ac:dyDescent="0.25">
      <c r="A124" s="169">
        <v>123</v>
      </c>
      <c r="B124" s="169" t="s">
        <v>662</v>
      </c>
      <c r="C124" s="416"/>
      <c r="D124" s="139" t="s">
        <v>10</v>
      </c>
    </row>
    <row r="125" spans="1:4" x14ac:dyDescent="0.25">
      <c r="A125" s="169">
        <v>124</v>
      </c>
      <c r="B125" s="169" t="s">
        <v>663</v>
      </c>
      <c r="C125" s="416"/>
      <c r="D125" s="139" t="s">
        <v>10</v>
      </c>
    </row>
    <row r="126" spans="1:4" x14ac:dyDescent="0.25">
      <c r="A126" s="169">
        <v>125</v>
      </c>
      <c r="B126" s="169" t="s">
        <v>664</v>
      </c>
      <c r="C126" s="416"/>
      <c r="D126" s="139" t="s">
        <v>10</v>
      </c>
    </row>
    <row r="127" spans="1:4" x14ac:dyDescent="0.25">
      <c r="A127" s="169">
        <v>126</v>
      </c>
      <c r="B127" s="169" t="s">
        <v>665</v>
      </c>
      <c r="C127" s="416"/>
      <c r="D127" s="139" t="s">
        <v>10</v>
      </c>
    </row>
    <row r="128" spans="1:4" x14ac:dyDescent="0.25">
      <c r="A128" s="169">
        <v>127</v>
      </c>
      <c r="B128" s="169" t="s">
        <v>666</v>
      </c>
      <c r="C128" s="416"/>
      <c r="D128" s="139" t="s">
        <v>10</v>
      </c>
    </row>
    <row r="129" spans="1:4" x14ac:dyDescent="0.25">
      <c r="A129" s="169">
        <v>128</v>
      </c>
      <c r="B129" s="169" t="s">
        <v>667</v>
      </c>
      <c r="C129" s="416"/>
      <c r="D129" s="139" t="s">
        <v>10</v>
      </c>
    </row>
    <row r="130" spans="1:4" x14ac:dyDescent="0.25">
      <c r="A130" s="169">
        <v>129</v>
      </c>
      <c r="B130" s="169" t="s">
        <v>668</v>
      </c>
      <c r="C130" s="416"/>
      <c r="D130" s="139" t="s">
        <v>431</v>
      </c>
    </row>
    <row r="131" spans="1:4" x14ac:dyDescent="0.25">
      <c r="A131" s="169">
        <v>130</v>
      </c>
      <c r="B131" s="169" t="s">
        <v>669</v>
      </c>
      <c r="C131" s="416"/>
      <c r="D131" s="139" t="s">
        <v>432</v>
      </c>
    </row>
    <row r="132" spans="1:4" x14ac:dyDescent="0.25">
      <c r="A132" s="169">
        <v>131</v>
      </c>
      <c r="B132" s="169" t="s">
        <v>670</v>
      </c>
      <c r="C132" s="416"/>
      <c r="D132" s="139" t="s">
        <v>433</v>
      </c>
    </row>
    <row r="133" spans="1:4" x14ac:dyDescent="0.25">
      <c r="A133" s="169">
        <v>132</v>
      </c>
      <c r="B133" s="169" t="s">
        <v>671</v>
      </c>
      <c r="C133" s="416"/>
      <c r="D133" s="139" t="s">
        <v>434</v>
      </c>
    </row>
    <row r="134" spans="1:4" x14ac:dyDescent="0.25">
      <c r="A134" s="169">
        <v>133</v>
      </c>
      <c r="B134" s="169" t="s">
        <v>672</v>
      </c>
      <c r="C134" s="416"/>
      <c r="D134" s="139" t="s">
        <v>435</v>
      </c>
    </row>
    <row r="135" spans="1:4" x14ac:dyDescent="0.25">
      <c r="A135" s="169">
        <v>134</v>
      </c>
      <c r="B135" s="169" t="s">
        <v>673</v>
      </c>
      <c r="C135" s="416"/>
      <c r="D135" s="139" t="s">
        <v>436</v>
      </c>
    </row>
    <row r="136" spans="1:4" ht="30" x14ac:dyDescent="0.25">
      <c r="A136" s="169">
        <v>135</v>
      </c>
      <c r="B136" s="169" t="s">
        <v>674</v>
      </c>
      <c r="C136" s="416"/>
      <c r="D136" s="139" t="s">
        <v>437</v>
      </c>
    </row>
    <row r="137" spans="1:4" x14ac:dyDescent="0.25">
      <c r="A137" s="169">
        <v>136</v>
      </c>
      <c r="B137" s="169" t="s">
        <v>675</v>
      </c>
      <c r="C137" s="416"/>
      <c r="D137" s="139" t="s">
        <v>438</v>
      </c>
    </row>
    <row r="138" spans="1:4" x14ac:dyDescent="0.25">
      <c r="A138" s="169">
        <v>137</v>
      </c>
      <c r="B138" s="169" t="s">
        <v>676</v>
      </c>
      <c r="C138" s="416"/>
      <c r="D138" s="139" t="s">
        <v>438</v>
      </c>
    </row>
    <row r="139" spans="1:4" ht="90" x14ac:dyDescent="0.25">
      <c r="A139" s="169">
        <v>138</v>
      </c>
      <c r="B139" s="169" t="s">
        <v>731</v>
      </c>
      <c r="C139" s="416"/>
      <c r="D139" s="139" t="s">
        <v>484</v>
      </c>
    </row>
    <row r="140" spans="1:4" x14ac:dyDescent="0.25">
      <c r="A140" s="169">
        <v>139</v>
      </c>
      <c r="B140" s="169" t="s">
        <v>732</v>
      </c>
      <c r="C140" s="416"/>
      <c r="D140" s="139" t="s">
        <v>439</v>
      </c>
    </row>
    <row r="141" spans="1:4" ht="105" x14ac:dyDescent="0.25">
      <c r="A141" s="169">
        <v>140</v>
      </c>
      <c r="B141" s="169" t="s">
        <v>677</v>
      </c>
      <c r="C141" s="416"/>
      <c r="D141" s="139" t="s">
        <v>485</v>
      </c>
    </row>
    <row r="142" spans="1:4" ht="30" x14ac:dyDescent="0.25">
      <c r="A142" s="169">
        <v>141</v>
      </c>
      <c r="B142" s="169" t="s">
        <v>678</v>
      </c>
      <c r="C142" s="416"/>
      <c r="D142" s="139" t="s">
        <v>482</v>
      </c>
    </row>
    <row r="143" spans="1:4" ht="30" x14ac:dyDescent="0.25">
      <c r="A143" s="169">
        <v>142</v>
      </c>
      <c r="B143" s="169" t="s">
        <v>717</v>
      </c>
      <c r="C143" s="416"/>
      <c r="D143" s="139" t="s">
        <v>440</v>
      </c>
    </row>
    <row r="144" spans="1:4" ht="30" x14ac:dyDescent="0.25">
      <c r="A144" s="169">
        <v>143</v>
      </c>
      <c r="B144" s="169" t="s">
        <v>718</v>
      </c>
      <c r="C144" s="416"/>
      <c r="D144" s="139" t="s">
        <v>441</v>
      </c>
    </row>
    <row r="145" spans="1:4" x14ac:dyDescent="0.25">
      <c r="A145" s="169">
        <v>144</v>
      </c>
      <c r="B145" s="169" t="s">
        <v>679</v>
      </c>
      <c r="C145" s="416"/>
      <c r="D145" s="139" t="s">
        <v>442</v>
      </c>
    </row>
    <row r="146" spans="1:4" x14ac:dyDescent="0.25">
      <c r="A146" s="169">
        <v>145</v>
      </c>
      <c r="B146" s="169" t="s">
        <v>680</v>
      </c>
      <c r="C146" s="416"/>
      <c r="D146" s="139" t="s">
        <v>443</v>
      </c>
    </row>
    <row r="147" spans="1:4" x14ac:dyDescent="0.25">
      <c r="A147" s="169">
        <v>146</v>
      </c>
      <c r="B147" s="169" t="s">
        <v>681</v>
      </c>
      <c r="C147" s="416"/>
      <c r="D147" s="139" t="s">
        <v>444</v>
      </c>
    </row>
    <row r="148" spans="1:4" x14ac:dyDescent="0.25">
      <c r="A148" s="169">
        <v>147</v>
      </c>
      <c r="B148" s="169" t="s">
        <v>682</v>
      </c>
      <c r="C148" s="416"/>
      <c r="D148" s="139" t="s">
        <v>445</v>
      </c>
    </row>
    <row r="149" spans="1:4" x14ac:dyDescent="0.25">
      <c r="A149" s="169">
        <v>148</v>
      </c>
      <c r="B149" s="169" t="s">
        <v>683</v>
      </c>
      <c r="C149" s="416"/>
      <c r="D149" s="139" t="s">
        <v>446</v>
      </c>
    </row>
    <row r="150" spans="1:4" x14ac:dyDescent="0.25">
      <c r="A150" s="169">
        <v>149</v>
      </c>
      <c r="B150" s="169" t="s">
        <v>684</v>
      </c>
      <c r="C150" s="416"/>
      <c r="D150" s="139" t="s">
        <v>447</v>
      </c>
    </row>
    <row r="151" spans="1:4" x14ac:dyDescent="0.25">
      <c r="A151" s="169">
        <v>150</v>
      </c>
      <c r="B151" s="169" t="s">
        <v>685</v>
      </c>
      <c r="C151" s="416"/>
      <c r="D151" s="139" t="s">
        <v>502</v>
      </c>
    </row>
    <row r="152" spans="1:4" x14ac:dyDescent="0.25">
      <c r="A152" s="169">
        <v>151</v>
      </c>
      <c r="B152" s="169" t="s">
        <v>686</v>
      </c>
      <c r="C152" s="416"/>
      <c r="D152" s="139" t="s">
        <v>10</v>
      </c>
    </row>
    <row r="153" spans="1:4" x14ac:dyDescent="0.25">
      <c r="A153" s="169">
        <v>152</v>
      </c>
      <c r="B153" s="169" t="s">
        <v>687</v>
      </c>
      <c r="C153" s="416"/>
      <c r="D153" s="139" t="s">
        <v>10</v>
      </c>
    </row>
    <row r="154" spans="1:4" x14ac:dyDescent="0.25">
      <c r="A154" s="169">
        <v>153</v>
      </c>
      <c r="B154" s="169" t="s">
        <v>688</v>
      </c>
      <c r="C154" s="416"/>
      <c r="D154" s="139" t="s">
        <v>10</v>
      </c>
    </row>
    <row r="155" spans="1:4" x14ac:dyDescent="0.25">
      <c r="A155" s="169">
        <v>154</v>
      </c>
      <c r="B155" s="169" t="s">
        <v>689</v>
      </c>
      <c r="C155" s="416"/>
      <c r="D155" s="139" t="s">
        <v>10</v>
      </c>
    </row>
    <row r="156" spans="1:4" x14ac:dyDescent="0.25">
      <c r="A156" s="169">
        <v>155</v>
      </c>
      <c r="B156" s="169" t="s">
        <v>690</v>
      </c>
      <c r="C156" s="416"/>
      <c r="D156" s="139" t="s">
        <v>10</v>
      </c>
    </row>
    <row r="157" spans="1:4" x14ac:dyDescent="0.25">
      <c r="A157" s="169">
        <v>156</v>
      </c>
      <c r="B157" s="169" t="s">
        <v>691</v>
      </c>
      <c r="C157" s="416"/>
      <c r="D157" s="139" t="s">
        <v>10</v>
      </c>
    </row>
    <row r="158" spans="1:4" x14ac:dyDescent="0.25">
      <c r="A158" s="169">
        <v>157</v>
      </c>
      <c r="B158" s="169" t="s">
        <v>692</v>
      </c>
      <c r="C158" s="416"/>
      <c r="D158" s="139" t="s">
        <v>10</v>
      </c>
    </row>
    <row r="159" spans="1:4" ht="30" x14ac:dyDescent="0.25">
      <c r="A159" s="169">
        <v>158</v>
      </c>
      <c r="B159" s="169" t="s">
        <v>693</v>
      </c>
      <c r="C159" s="416"/>
      <c r="D159" s="139" t="s">
        <v>503</v>
      </c>
    </row>
    <row r="160" spans="1:4" ht="30" x14ac:dyDescent="0.25">
      <c r="A160" s="169">
        <v>159</v>
      </c>
      <c r="B160" s="169" t="s">
        <v>694</v>
      </c>
      <c r="C160" s="416"/>
      <c r="D160" s="139" t="s">
        <v>504</v>
      </c>
    </row>
    <row r="161" spans="1:4" ht="30" x14ac:dyDescent="0.25">
      <c r="A161" s="169">
        <v>160</v>
      </c>
      <c r="B161" s="169" t="s">
        <v>695</v>
      </c>
      <c r="C161" s="416"/>
      <c r="D161" s="139" t="s">
        <v>505</v>
      </c>
    </row>
    <row r="162" spans="1:4" ht="15.75" thickBot="1" x14ac:dyDescent="0.3">
      <c r="A162" s="170">
        <v>161</v>
      </c>
      <c r="B162" s="170" t="s">
        <v>696</v>
      </c>
      <c r="C162" s="417"/>
      <c r="D162" s="204" t="s">
        <v>10</v>
      </c>
    </row>
    <row r="163" spans="1:4" ht="30" customHeight="1" x14ac:dyDescent="0.25">
      <c r="A163" s="171">
        <v>162</v>
      </c>
      <c r="B163" s="171" t="s">
        <v>697</v>
      </c>
      <c r="C163" s="415" t="s">
        <v>448</v>
      </c>
      <c r="D163" s="139" t="s">
        <v>449</v>
      </c>
    </row>
    <row r="164" spans="1:4" ht="30" x14ac:dyDescent="0.25">
      <c r="A164" s="171">
        <v>163</v>
      </c>
      <c r="B164" s="171" t="s">
        <v>698</v>
      </c>
      <c r="C164" s="416"/>
      <c r="D164" s="139" t="s">
        <v>450</v>
      </c>
    </row>
    <row r="165" spans="1:4" x14ac:dyDescent="0.25">
      <c r="A165" s="171">
        <v>164</v>
      </c>
      <c r="B165" s="171" t="s">
        <v>699</v>
      </c>
      <c r="C165" s="416"/>
      <c r="D165" s="139" t="s">
        <v>10</v>
      </c>
    </row>
    <row r="166" spans="1:4" x14ac:dyDescent="0.25">
      <c r="A166" s="171">
        <v>165</v>
      </c>
      <c r="B166" s="171" t="s">
        <v>700</v>
      </c>
      <c r="C166" s="416"/>
      <c r="D166" s="139" t="s">
        <v>10</v>
      </c>
    </row>
    <row r="167" spans="1:4" ht="30" x14ac:dyDescent="0.25">
      <c r="A167" s="171">
        <v>166</v>
      </c>
      <c r="B167" s="171" t="s">
        <v>701</v>
      </c>
      <c r="C167" s="416"/>
      <c r="D167" s="139" t="s">
        <v>451</v>
      </c>
    </row>
    <row r="168" spans="1:4" ht="30" x14ac:dyDescent="0.25">
      <c r="A168" s="171">
        <v>167</v>
      </c>
      <c r="B168" s="171" t="s">
        <v>702</v>
      </c>
      <c r="C168" s="416"/>
      <c r="D168" s="139" t="s">
        <v>452</v>
      </c>
    </row>
    <row r="169" spans="1:4" x14ac:dyDescent="0.25">
      <c r="A169" s="171">
        <v>168</v>
      </c>
      <c r="B169" s="171" t="s">
        <v>703</v>
      </c>
      <c r="C169" s="416"/>
      <c r="D169" s="139" t="s">
        <v>453</v>
      </c>
    </row>
    <row r="170" spans="1:4" x14ac:dyDescent="0.25">
      <c r="A170" s="171">
        <v>169</v>
      </c>
      <c r="B170" s="171" t="s">
        <v>704</v>
      </c>
      <c r="C170" s="416"/>
      <c r="D170" s="139" t="s">
        <v>10</v>
      </c>
    </row>
    <row r="171" spans="1:4" x14ac:dyDescent="0.25">
      <c r="A171" s="171">
        <v>170</v>
      </c>
      <c r="B171" s="171" t="s">
        <v>705</v>
      </c>
      <c r="C171" s="416"/>
      <c r="D171" s="139" t="s">
        <v>10</v>
      </c>
    </row>
    <row r="172" spans="1:4" x14ac:dyDescent="0.25">
      <c r="A172" s="171">
        <v>171</v>
      </c>
      <c r="B172" s="171" t="s">
        <v>706</v>
      </c>
      <c r="C172" s="416"/>
      <c r="D172" s="139" t="s">
        <v>10</v>
      </c>
    </row>
    <row r="173" spans="1:4" x14ac:dyDescent="0.25">
      <c r="A173" s="171">
        <v>172</v>
      </c>
      <c r="B173" s="171" t="s">
        <v>707</v>
      </c>
      <c r="C173" s="416"/>
      <c r="D173" s="139" t="s">
        <v>454</v>
      </c>
    </row>
    <row r="174" spans="1:4" x14ac:dyDescent="0.25">
      <c r="A174" s="171">
        <v>173</v>
      </c>
      <c r="B174" s="171" t="s">
        <v>708</v>
      </c>
      <c r="C174" s="416"/>
      <c r="D174" s="139" t="s">
        <v>455</v>
      </c>
    </row>
    <row r="175" spans="1:4" x14ac:dyDescent="0.25">
      <c r="A175" s="171">
        <v>174</v>
      </c>
      <c r="B175" s="171" t="s">
        <v>709</v>
      </c>
      <c r="C175" s="416"/>
      <c r="D175" s="139" t="s">
        <v>456</v>
      </c>
    </row>
    <row r="176" spans="1:4" ht="15.75" thickBot="1" x14ac:dyDescent="0.3">
      <c r="A176" s="172">
        <v>175</v>
      </c>
      <c r="B176" s="172" t="s">
        <v>723</v>
      </c>
      <c r="C176" s="417"/>
      <c r="D176" s="143" t="s">
        <v>457</v>
      </c>
    </row>
    <row r="177" spans="1:4" ht="15.75" thickBot="1" x14ac:dyDescent="0.3">
      <c r="A177" s="173">
        <v>176</v>
      </c>
      <c r="B177" s="173" t="s">
        <v>710</v>
      </c>
      <c r="C177" s="174" t="s">
        <v>458</v>
      </c>
      <c r="D177" s="190" t="s">
        <v>459</v>
      </c>
    </row>
    <row r="178" spans="1:4" ht="30" x14ac:dyDescent="0.25">
      <c r="A178" s="390">
        <v>177</v>
      </c>
      <c r="B178" s="194" t="s">
        <v>926</v>
      </c>
      <c r="C178" s="415" t="s">
        <v>924</v>
      </c>
      <c r="D178" s="146" t="s">
        <v>938</v>
      </c>
    </row>
    <row r="179" spans="1:4" ht="30.75" thickBot="1" x14ac:dyDescent="0.3">
      <c r="A179" s="391">
        <v>178</v>
      </c>
      <c r="B179" s="150" t="s">
        <v>927</v>
      </c>
      <c r="C179" s="417"/>
      <c r="D179" s="143" t="s">
        <v>939</v>
      </c>
    </row>
    <row r="180" spans="1:4" x14ac:dyDescent="0.25">
      <c r="A180" s="425">
        <v>179</v>
      </c>
      <c r="B180" s="429" t="s">
        <v>932</v>
      </c>
      <c r="C180" s="415" t="s">
        <v>931</v>
      </c>
      <c r="D180" s="146" t="s">
        <v>935</v>
      </c>
    </row>
    <row r="181" spans="1:4" x14ac:dyDescent="0.25">
      <c r="A181" s="426">
        <v>180</v>
      </c>
      <c r="B181" s="430" t="s">
        <v>933</v>
      </c>
      <c r="C181" s="427"/>
      <c r="D181" s="270" t="s">
        <v>936</v>
      </c>
    </row>
    <row r="182" spans="1:4" ht="15.75" thickBot="1" x14ac:dyDescent="0.3">
      <c r="A182" s="428">
        <v>181</v>
      </c>
      <c r="B182" s="431" t="s">
        <v>934</v>
      </c>
      <c r="C182" s="417"/>
      <c r="D182" s="143" t="s">
        <v>937</v>
      </c>
    </row>
  </sheetData>
  <sheetProtection sheet="1" objects="1" scenarios="1"/>
  <mergeCells count="16">
    <mergeCell ref="C180:C182"/>
    <mergeCell ref="C178:C179"/>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91"/>
  <sheetViews>
    <sheetView zoomScaleNormal="100" workbookViewId="0">
      <pane ySplit="1" topLeftCell="A59" activePane="bottomLeft" state="frozen"/>
      <selection pane="bottomLeft" activeCell="D92" sqref="D92"/>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29" t="s">
        <v>89</v>
      </c>
      <c r="B1" s="314" t="s">
        <v>92</v>
      </c>
      <c r="C1" s="330" t="s">
        <v>478</v>
      </c>
      <c r="D1" s="331" t="s">
        <v>0</v>
      </c>
    </row>
    <row r="2" spans="1:4" x14ac:dyDescent="0.25">
      <c r="A2" s="278">
        <v>1001</v>
      </c>
      <c r="B2" s="278" t="s">
        <v>356</v>
      </c>
      <c r="C2" s="416" t="s">
        <v>789</v>
      </c>
      <c r="D2" s="271" t="s">
        <v>362</v>
      </c>
    </row>
    <row r="3" spans="1:4" x14ac:dyDescent="0.25">
      <c r="A3" s="278">
        <v>1002</v>
      </c>
      <c r="B3" s="278" t="s">
        <v>357</v>
      </c>
      <c r="C3" s="416"/>
      <c r="D3" s="272" t="s">
        <v>790</v>
      </c>
    </row>
    <row r="4" spans="1:4" x14ac:dyDescent="0.25">
      <c r="A4" s="278">
        <v>1003</v>
      </c>
      <c r="B4" s="278" t="s">
        <v>358</v>
      </c>
      <c r="C4" s="416"/>
      <c r="D4" s="273" t="s">
        <v>10</v>
      </c>
    </row>
    <row r="5" spans="1:4" x14ac:dyDescent="0.25">
      <c r="A5" s="278">
        <v>1004</v>
      </c>
      <c r="B5" s="278" t="s">
        <v>359</v>
      </c>
      <c r="C5" s="416"/>
      <c r="D5" s="273" t="s">
        <v>10</v>
      </c>
    </row>
    <row r="6" spans="1:4" ht="15.75" thickBot="1" x14ac:dyDescent="0.3">
      <c r="A6" s="279">
        <v>1005</v>
      </c>
      <c r="B6" s="279" t="s">
        <v>360</v>
      </c>
      <c r="C6" s="417"/>
      <c r="D6" s="274" t="s">
        <v>10</v>
      </c>
    </row>
    <row r="7" spans="1:4" x14ac:dyDescent="0.25">
      <c r="A7" s="222">
        <v>1006</v>
      </c>
      <c r="B7" s="221" t="s">
        <v>238</v>
      </c>
      <c r="C7" s="415" t="s">
        <v>791</v>
      </c>
      <c r="D7" s="275" t="s">
        <v>792</v>
      </c>
    </row>
    <row r="8" spans="1:4" x14ac:dyDescent="0.25">
      <c r="A8" s="218">
        <v>1007</v>
      </c>
      <c r="B8" s="217" t="s">
        <v>239</v>
      </c>
      <c r="C8" s="416"/>
      <c r="D8" s="273" t="s">
        <v>10</v>
      </c>
    </row>
    <row r="9" spans="1:4" x14ac:dyDescent="0.25">
      <c r="A9" s="218">
        <v>1008</v>
      </c>
      <c r="B9" s="217" t="s">
        <v>240</v>
      </c>
      <c r="C9" s="416"/>
      <c r="D9" s="273" t="s">
        <v>10</v>
      </c>
    </row>
    <row r="10" spans="1:4" x14ac:dyDescent="0.25">
      <c r="A10" s="218">
        <v>1009</v>
      </c>
      <c r="B10" s="217" t="s">
        <v>241</v>
      </c>
      <c r="C10" s="416"/>
      <c r="D10" s="273" t="s">
        <v>10</v>
      </c>
    </row>
    <row r="11" spans="1:4" x14ac:dyDescent="0.25">
      <c r="A11" s="218">
        <v>1010</v>
      </c>
      <c r="B11" s="217" t="s">
        <v>242</v>
      </c>
      <c r="C11" s="416"/>
      <c r="D11" s="273" t="s">
        <v>10</v>
      </c>
    </row>
    <row r="12" spans="1:4" x14ac:dyDescent="0.25">
      <c r="A12" s="218">
        <v>1011</v>
      </c>
      <c r="B12" s="217" t="s">
        <v>243</v>
      </c>
      <c r="C12" s="416"/>
      <c r="D12" s="273" t="s">
        <v>10</v>
      </c>
    </row>
    <row r="13" spans="1:4" x14ac:dyDescent="0.25">
      <c r="A13" s="218">
        <v>1012</v>
      </c>
      <c r="B13" s="217" t="s">
        <v>244</v>
      </c>
      <c r="C13" s="416"/>
      <c r="D13" s="273" t="s">
        <v>10</v>
      </c>
    </row>
    <row r="14" spans="1:4" x14ac:dyDescent="0.25">
      <c r="A14" s="218">
        <v>1013</v>
      </c>
      <c r="B14" s="217" t="s">
        <v>245</v>
      </c>
      <c r="C14" s="416"/>
      <c r="D14" s="273" t="s">
        <v>10</v>
      </c>
    </row>
    <row r="15" spans="1:4" x14ac:dyDescent="0.25">
      <c r="A15" s="218">
        <v>1014</v>
      </c>
      <c r="B15" s="217" t="s">
        <v>246</v>
      </c>
      <c r="C15" s="416"/>
      <c r="D15" s="273" t="s">
        <v>10</v>
      </c>
    </row>
    <row r="16" spans="1:4" x14ac:dyDescent="0.25">
      <c r="A16" s="218">
        <v>1015</v>
      </c>
      <c r="B16" s="217" t="s">
        <v>247</v>
      </c>
      <c r="C16" s="416"/>
      <c r="D16" s="273" t="s">
        <v>10</v>
      </c>
    </row>
    <row r="17" spans="1:4" x14ac:dyDescent="0.25">
      <c r="A17" s="218">
        <v>1016</v>
      </c>
      <c r="B17" s="217" t="s">
        <v>248</v>
      </c>
      <c r="C17" s="416"/>
      <c r="D17" s="273" t="s">
        <v>10</v>
      </c>
    </row>
    <row r="18" spans="1:4" x14ac:dyDescent="0.25">
      <c r="A18" s="218">
        <v>1017</v>
      </c>
      <c r="B18" s="217" t="s">
        <v>249</v>
      </c>
      <c r="C18" s="416"/>
      <c r="D18" s="273" t="s">
        <v>10</v>
      </c>
    </row>
    <row r="19" spans="1:4" x14ac:dyDescent="0.25">
      <c r="A19" s="218">
        <v>1018</v>
      </c>
      <c r="B19" s="217" t="s">
        <v>734</v>
      </c>
      <c r="C19" s="416"/>
      <c r="D19" s="272" t="s">
        <v>409</v>
      </c>
    </row>
    <row r="20" spans="1:4" x14ac:dyDescent="0.25">
      <c r="A20" s="218">
        <v>1019</v>
      </c>
      <c r="B20" s="217" t="s">
        <v>735</v>
      </c>
      <c r="C20" s="416"/>
      <c r="D20" s="272" t="s">
        <v>410</v>
      </c>
    </row>
    <row r="21" spans="1:4" x14ac:dyDescent="0.25">
      <c r="A21" s="218">
        <v>1020</v>
      </c>
      <c r="B21" s="217" t="s">
        <v>736</v>
      </c>
      <c r="C21" s="416"/>
      <c r="D21" s="272" t="s">
        <v>411</v>
      </c>
    </row>
    <row r="22" spans="1:4" x14ac:dyDescent="0.25">
      <c r="A22" s="218">
        <v>1021</v>
      </c>
      <c r="B22" s="217" t="s">
        <v>737</v>
      </c>
      <c r="C22" s="416"/>
      <c r="D22" s="273" t="s">
        <v>10</v>
      </c>
    </row>
    <row r="23" spans="1:4" x14ac:dyDescent="0.25">
      <c r="A23" s="218">
        <v>1022</v>
      </c>
      <c r="B23" s="217" t="s">
        <v>738</v>
      </c>
      <c r="C23" s="416"/>
      <c r="D23" s="273" t="s">
        <v>10</v>
      </c>
    </row>
    <row r="24" spans="1:4" x14ac:dyDescent="0.25">
      <c r="A24" s="218">
        <v>1023</v>
      </c>
      <c r="B24" s="217" t="s">
        <v>739</v>
      </c>
      <c r="C24" s="416"/>
      <c r="D24" s="272" t="s">
        <v>793</v>
      </c>
    </row>
    <row r="25" spans="1:4" x14ac:dyDescent="0.25">
      <c r="A25" s="218">
        <v>1024</v>
      </c>
      <c r="B25" s="217" t="s">
        <v>740</v>
      </c>
      <c r="C25" s="416"/>
      <c r="D25" s="272" t="s">
        <v>793</v>
      </c>
    </row>
    <row r="26" spans="1:4" x14ac:dyDescent="0.25">
      <c r="A26" s="218">
        <v>1025</v>
      </c>
      <c r="B26" s="217" t="s">
        <v>250</v>
      </c>
      <c r="C26" s="416"/>
      <c r="D26" s="272" t="s">
        <v>412</v>
      </c>
    </row>
    <row r="27" spans="1:4" x14ac:dyDescent="0.25">
      <c r="A27" s="218">
        <v>1026</v>
      </c>
      <c r="B27" s="217" t="s">
        <v>251</v>
      </c>
      <c r="C27" s="416"/>
      <c r="D27" s="272" t="s">
        <v>413</v>
      </c>
    </row>
    <row r="28" spans="1:4" x14ac:dyDescent="0.25">
      <c r="A28" s="218">
        <v>1027</v>
      </c>
      <c r="B28" s="217" t="s">
        <v>741</v>
      </c>
      <c r="C28" s="416"/>
      <c r="D28" s="272" t="s">
        <v>794</v>
      </c>
    </row>
    <row r="29" spans="1:4" x14ac:dyDescent="0.25">
      <c r="A29" s="218">
        <v>1028</v>
      </c>
      <c r="B29" s="218" t="s">
        <v>742</v>
      </c>
      <c r="C29" s="416"/>
      <c r="D29" s="272" t="s">
        <v>795</v>
      </c>
    </row>
    <row r="30" spans="1:4" x14ac:dyDescent="0.25">
      <c r="A30" s="218">
        <v>1029</v>
      </c>
      <c r="B30" s="218" t="s">
        <v>743</v>
      </c>
      <c r="C30" s="416"/>
      <c r="D30" s="272" t="s">
        <v>796</v>
      </c>
    </row>
    <row r="31" spans="1:4" x14ac:dyDescent="0.25">
      <c r="A31" s="218">
        <v>1030</v>
      </c>
      <c r="B31" s="217" t="s">
        <v>350</v>
      </c>
      <c r="C31" s="416"/>
      <c r="D31" s="272" t="s">
        <v>797</v>
      </c>
    </row>
    <row r="32" spans="1:4" x14ac:dyDescent="0.25">
      <c r="A32" s="218">
        <v>1031</v>
      </c>
      <c r="B32" s="217" t="s">
        <v>744</v>
      </c>
      <c r="C32" s="416"/>
      <c r="D32" s="272" t="s">
        <v>798</v>
      </c>
    </row>
    <row r="33" spans="1:4" x14ac:dyDescent="0.25">
      <c r="A33" s="218">
        <v>1032</v>
      </c>
      <c r="B33" s="217" t="s">
        <v>745</v>
      </c>
      <c r="C33" s="416"/>
      <c r="D33" s="272" t="s">
        <v>799</v>
      </c>
    </row>
    <row r="34" spans="1:4" x14ac:dyDescent="0.25">
      <c r="A34" s="218">
        <v>1033</v>
      </c>
      <c r="B34" s="217" t="s">
        <v>800</v>
      </c>
      <c r="C34" s="416"/>
      <c r="D34" s="272" t="s">
        <v>801</v>
      </c>
    </row>
    <row r="35" spans="1:4" x14ac:dyDescent="0.25">
      <c r="A35" s="218">
        <v>1034</v>
      </c>
      <c r="B35" s="217" t="s">
        <v>802</v>
      </c>
      <c r="C35" s="416"/>
      <c r="D35" s="272" t="s">
        <v>803</v>
      </c>
    </row>
    <row r="36" spans="1:4" x14ac:dyDescent="0.25">
      <c r="A36" s="218">
        <v>1035</v>
      </c>
      <c r="B36" s="217" t="s">
        <v>828</v>
      </c>
      <c r="C36" s="416"/>
      <c r="D36" s="272" t="s">
        <v>804</v>
      </c>
    </row>
    <row r="37" spans="1:4" x14ac:dyDescent="0.25">
      <c r="A37" s="218">
        <v>1036</v>
      </c>
      <c r="B37" s="217" t="s">
        <v>829</v>
      </c>
      <c r="C37" s="416"/>
      <c r="D37" s="273" t="s">
        <v>10</v>
      </c>
    </row>
    <row r="38" spans="1:4" x14ac:dyDescent="0.25">
      <c r="A38" s="218">
        <v>1037</v>
      </c>
      <c r="B38" s="217" t="s">
        <v>830</v>
      </c>
      <c r="C38" s="416"/>
      <c r="D38" s="273" t="s">
        <v>10</v>
      </c>
    </row>
    <row r="39" spans="1:4" x14ac:dyDescent="0.25">
      <c r="A39" s="218">
        <v>1038</v>
      </c>
      <c r="B39" s="217" t="s">
        <v>831</v>
      </c>
      <c r="C39" s="416"/>
      <c r="D39" s="273" t="s">
        <v>10</v>
      </c>
    </row>
    <row r="40" spans="1:4" x14ac:dyDescent="0.25">
      <c r="A40" s="218">
        <v>1039</v>
      </c>
      <c r="B40" s="217" t="s">
        <v>832</v>
      </c>
      <c r="C40" s="416"/>
      <c r="D40" s="273" t="s">
        <v>10</v>
      </c>
    </row>
    <row r="41" spans="1:4" x14ac:dyDescent="0.25">
      <c r="A41" s="218">
        <v>1040</v>
      </c>
      <c r="B41" s="217" t="s">
        <v>833</v>
      </c>
      <c r="C41" s="416"/>
      <c r="D41" s="273" t="s">
        <v>10</v>
      </c>
    </row>
    <row r="42" spans="1:4" x14ac:dyDescent="0.25">
      <c r="A42" s="218">
        <v>1041</v>
      </c>
      <c r="B42" s="217" t="s">
        <v>834</v>
      </c>
      <c r="C42" s="416"/>
      <c r="D42" s="273" t="s">
        <v>10</v>
      </c>
    </row>
    <row r="43" spans="1:4" ht="15.75" thickBot="1" x14ac:dyDescent="0.3">
      <c r="A43" s="220">
        <v>1042</v>
      </c>
      <c r="B43" s="219" t="s">
        <v>835</v>
      </c>
      <c r="C43" s="417"/>
      <c r="D43" s="274" t="s">
        <v>10</v>
      </c>
    </row>
    <row r="44" spans="1:4" x14ac:dyDescent="0.25">
      <c r="A44" s="280">
        <v>1043</v>
      </c>
      <c r="B44" s="281" t="s">
        <v>252</v>
      </c>
      <c r="C44" s="415" t="s">
        <v>396</v>
      </c>
      <c r="D44" s="272" t="s">
        <v>807</v>
      </c>
    </row>
    <row r="45" spans="1:4" ht="30.75" thickBot="1" x14ac:dyDescent="0.3">
      <c r="A45" s="282">
        <v>1044</v>
      </c>
      <c r="B45" s="283" t="s">
        <v>748</v>
      </c>
      <c r="C45" s="417"/>
      <c r="D45" s="276" t="s">
        <v>808</v>
      </c>
    </row>
    <row r="46" spans="1:4" x14ac:dyDescent="0.25">
      <c r="A46" s="284">
        <v>1045</v>
      </c>
      <c r="B46" s="285" t="s">
        <v>253</v>
      </c>
      <c r="C46" s="415" t="s">
        <v>805</v>
      </c>
      <c r="D46" s="272" t="s">
        <v>398</v>
      </c>
    </row>
    <row r="47" spans="1:4" x14ac:dyDescent="0.25">
      <c r="A47" s="286">
        <v>1046</v>
      </c>
      <c r="B47" s="287" t="s">
        <v>254</v>
      </c>
      <c r="C47" s="416"/>
      <c r="D47" s="272" t="s">
        <v>399</v>
      </c>
    </row>
    <row r="48" spans="1:4" x14ac:dyDescent="0.25">
      <c r="A48" s="286">
        <v>1047</v>
      </c>
      <c r="B48" s="287" t="s">
        <v>255</v>
      </c>
      <c r="C48" s="416"/>
      <c r="D48" s="272" t="s">
        <v>400</v>
      </c>
    </row>
    <row r="49" spans="1:4" x14ac:dyDescent="0.25">
      <c r="A49" s="286">
        <v>1048</v>
      </c>
      <c r="B49" s="287" t="s">
        <v>256</v>
      </c>
      <c r="C49" s="416"/>
      <c r="D49" s="272" t="s">
        <v>401</v>
      </c>
    </row>
    <row r="50" spans="1:4" x14ac:dyDescent="0.25">
      <c r="A50" s="286">
        <v>1049</v>
      </c>
      <c r="B50" s="287" t="s">
        <v>257</v>
      </c>
      <c r="C50" s="416"/>
      <c r="D50" s="272" t="s">
        <v>402</v>
      </c>
    </row>
    <row r="51" spans="1:4" x14ac:dyDescent="0.25">
      <c r="A51" s="286">
        <v>1050</v>
      </c>
      <c r="B51" s="287" t="s">
        <v>258</v>
      </c>
      <c r="C51" s="416"/>
      <c r="D51" s="272" t="s">
        <v>403</v>
      </c>
    </row>
    <row r="52" spans="1:4" x14ac:dyDescent="0.25">
      <c r="A52" s="286">
        <v>1051</v>
      </c>
      <c r="B52" s="287" t="s">
        <v>749</v>
      </c>
      <c r="C52" s="416"/>
      <c r="D52" s="272" t="s">
        <v>426</v>
      </c>
    </row>
    <row r="53" spans="1:4" x14ac:dyDescent="0.25">
      <c r="A53" s="286">
        <v>1052</v>
      </c>
      <c r="B53" s="287" t="s">
        <v>750</v>
      </c>
      <c r="C53" s="416"/>
      <c r="D53" s="272" t="s">
        <v>10</v>
      </c>
    </row>
    <row r="54" spans="1:4" x14ac:dyDescent="0.25">
      <c r="A54" s="286">
        <v>1053</v>
      </c>
      <c r="B54" s="287" t="s">
        <v>751</v>
      </c>
      <c r="C54" s="416"/>
      <c r="D54" s="272" t="s">
        <v>809</v>
      </c>
    </row>
    <row r="55" spans="1:4" ht="15.75" thickBot="1" x14ac:dyDescent="0.3">
      <c r="A55" s="288">
        <v>1054</v>
      </c>
      <c r="B55" s="289" t="s">
        <v>752</v>
      </c>
      <c r="C55" s="417"/>
      <c r="D55" s="44" t="s">
        <v>10</v>
      </c>
    </row>
    <row r="56" spans="1:4" x14ac:dyDescent="0.25">
      <c r="A56" s="290">
        <v>1055</v>
      </c>
      <c r="B56" s="291" t="s">
        <v>259</v>
      </c>
      <c r="C56" s="415" t="s">
        <v>107</v>
      </c>
      <c r="D56" s="277" t="s">
        <v>810</v>
      </c>
    </row>
    <row r="57" spans="1:4" x14ac:dyDescent="0.25">
      <c r="A57" s="292">
        <v>1056</v>
      </c>
      <c r="B57" s="293" t="s">
        <v>260</v>
      </c>
      <c r="C57" s="416"/>
      <c r="D57" s="277" t="s">
        <v>811</v>
      </c>
    </row>
    <row r="58" spans="1:4" x14ac:dyDescent="0.25">
      <c r="A58" s="292">
        <v>1057</v>
      </c>
      <c r="B58" s="293" t="s">
        <v>261</v>
      </c>
      <c r="C58" s="416"/>
      <c r="D58" s="277" t="s">
        <v>812</v>
      </c>
    </row>
    <row r="59" spans="1:4" x14ac:dyDescent="0.25">
      <c r="A59" s="292">
        <v>1058</v>
      </c>
      <c r="B59" s="293" t="s">
        <v>262</v>
      </c>
      <c r="C59" s="416"/>
      <c r="D59" s="277" t="s">
        <v>813</v>
      </c>
    </row>
    <row r="60" spans="1:4" x14ac:dyDescent="0.25">
      <c r="A60" s="292">
        <v>1059</v>
      </c>
      <c r="B60" s="293" t="s">
        <v>788</v>
      </c>
      <c r="C60" s="416"/>
      <c r="D60" s="277" t="s">
        <v>814</v>
      </c>
    </row>
    <row r="61" spans="1:4" x14ac:dyDescent="0.25">
      <c r="A61" s="292">
        <v>1060</v>
      </c>
      <c r="B61" s="293" t="s">
        <v>753</v>
      </c>
      <c r="C61" s="416"/>
      <c r="D61" s="277" t="s">
        <v>815</v>
      </c>
    </row>
    <row r="62" spans="1:4" x14ac:dyDescent="0.25">
      <c r="A62" s="292">
        <v>1061</v>
      </c>
      <c r="B62" s="293" t="s">
        <v>263</v>
      </c>
      <c r="C62" s="416"/>
      <c r="D62" s="277" t="s">
        <v>816</v>
      </c>
    </row>
    <row r="63" spans="1:4" ht="15.75" thickBot="1" x14ac:dyDescent="0.3">
      <c r="A63" s="294">
        <v>1062</v>
      </c>
      <c r="B63" s="295" t="s">
        <v>264</v>
      </c>
      <c r="C63" s="417"/>
      <c r="D63" s="44" t="s">
        <v>817</v>
      </c>
    </row>
    <row r="64" spans="1:4" x14ac:dyDescent="0.25">
      <c r="A64" s="222">
        <v>1063</v>
      </c>
      <c r="B64" s="221" t="s">
        <v>265</v>
      </c>
      <c r="C64" s="415" t="s">
        <v>818</v>
      </c>
      <c r="D64" s="275" t="s">
        <v>819</v>
      </c>
    </row>
    <row r="65" spans="1:4" x14ac:dyDescent="0.25">
      <c r="A65" s="218">
        <v>1064</v>
      </c>
      <c r="B65" s="217" t="s">
        <v>266</v>
      </c>
      <c r="C65" s="416"/>
      <c r="D65" s="272" t="s">
        <v>10</v>
      </c>
    </row>
    <row r="66" spans="1:4" x14ac:dyDescent="0.25">
      <c r="A66" s="218">
        <v>1065</v>
      </c>
      <c r="B66" s="217" t="s">
        <v>267</v>
      </c>
      <c r="C66" s="416"/>
      <c r="D66" s="272" t="s">
        <v>10</v>
      </c>
    </row>
    <row r="67" spans="1:4" x14ac:dyDescent="0.25">
      <c r="A67" s="218">
        <v>1066</v>
      </c>
      <c r="B67" s="217" t="s">
        <v>268</v>
      </c>
      <c r="C67" s="416"/>
      <c r="D67" s="272" t="s">
        <v>10</v>
      </c>
    </row>
    <row r="68" spans="1:4" x14ac:dyDescent="0.25">
      <c r="A68" s="218">
        <v>1067</v>
      </c>
      <c r="B68" s="217" t="s">
        <v>269</v>
      </c>
      <c r="C68" s="416"/>
      <c r="D68" s="272" t="s">
        <v>10</v>
      </c>
    </row>
    <row r="69" spans="1:4" x14ac:dyDescent="0.25">
      <c r="A69" s="218">
        <v>1068</v>
      </c>
      <c r="B69" s="217" t="s">
        <v>754</v>
      </c>
      <c r="C69" s="416"/>
      <c r="D69" s="272" t="s">
        <v>10</v>
      </c>
    </row>
    <row r="70" spans="1:4" ht="15.75" thickBot="1" x14ac:dyDescent="0.3">
      <c r="A70" s="220">
        <v>1069</v>
      </c>
      <c r="B70" s="219" t="s">
        <v>755</v>
      </c>
      <c r="C70" s="417"/>
      <c r="D70" s="44" t="s">
        <v>10</v>
      </c>
    </row>
    <row r="71" spans="1:4" x14ac:dyDescent="0.25">
      <c r="A71" s="280">
        <v>1070</v>
      </c>
      <c r="B71" s="281" t="s">
        <v>756</v>
      </c>
      <c r="C71" s="415" t="s">
        <v>806</v>
      </c>
      <c r="D71" s="270" t="s">
        <v>475</v>
      </c>
    </row>
    <row r="72" spans="1:4" x14ac:dyDescent="0.25">
      <c r="A72" s="296">
        <v>1071</v>
      </c>
      <c r="B72" s="297" t="s">
        <v>757</v>
      </c>
      <c r="C72" s="416"/>
      <c r="D72" s="270" t="s">
        <v>826</v>
      </c>
    </row>
    <row r="73" spans="1:4" ht="30" x14ac:dyDescent="0.25">
      <c r="A73" s="296">
        <v>1072</v>
      </c>
      <c r="B73" s="297" t="s">
        <v>351</v>
      </c>
      <c r="C73" s="416"/>
      <c r="D73" s="139" t="s">
        <v>451</v>
      </c>
    </row>
    <row r="74" spans="1:4" ht="30" x14ac:dyDescent="0.25">
      <c r="A74" s="296">
        <v>1073</v>
      </c>
      <c r="B74" s="297" t="s">
        <v>758</v>
      </c>
      <c r="C74" s="416"/>
      <c r="D74" s="139" t="s">
        <v>452</v>
      </c>
    </row>
    <row r="75" spans="1:4" ht="30" x14ac:dyDescent="0.25">
      <c r="A75" s="296">
        <v>1074</v>
      </c>
      <c r="B75" s="297" t="s">
        <v>352</v>
      </c>
      <c r="C75" s="416"/>
      <c r="D75" s="139" t="s">
        <v>822</v>
      </c>
    </row>
    <row r="76" spans="1:4" ht="30" x14ac:dyDescent="0.25">
      <c r="A76" s="296">
        <v>1075</v>
      </c>
      <c r="B76" s="297" t="s">
        <v>759</v>
      </c>
      <c r="C76" s="416"/>
      <c r="D76" s="139" t="s">
        <v>823</v>
      </c>
    </row>
    <row r="77" spans="1:4" x14ac:dyDescent="0.25">
      <c r="A77" s="296">
        <v>1076</v>
      </c>
      <c r="B77" s="297" t="s">
        <v>760</v>
      </c>
      <c r="C77" s="416"/>
      <c r="D77" s="139" t="s">
        <v>825</v>
      </c>
    </row>
    <row r="78" spans="1:4" ht="30" x14ac:dyDescent="0.25">
      <c r="A78" s="296">
        <v>1077</v>
      </c>
      <c r="B78" s="297" t="s">
        <v>761</v>
      </c>
      <c r="C78" s="416"/>
      <c r="D78" s="139" t="s">
        <v>824</v>
      </c>
    </row>
    <row r="79" spans="1:4" x14ac:dyDescent="0.25">
      <c r="A79" s="296">
        <v>1078</v>
      </c>
      <c r="B79" s="297" t="s">
        <v>762</v>
      </c>
      <c r="C79" s="416"/>
      <c r="D79" s="277" t="s">
        <v>820</v>
      </c>
    </row>
    <row r="80" spans="1:4" x14ac:dyDescent="0.25">
      <c r="A80" s="296">
        <v>1079</v>
      </c>
      <c r="B80" s="297" t="s">
        <v>763</v>
      </c>
      <c r="C80" s="416"/>
      <c r="D80" s="272" t="s">
        <v>10</v>
      </c>
    </row>
    <row r="81" spans="1:4" x14ac:dyDescent="0.25">
      <c r="A81" s="296">
        <v>1080</v>
      </c>
      <c r="B81" s="297" t="s">
        <v>764</v>
      </c>
      <c r="C81" s="416"/>
      <c r="D81" s="272" t="s">
        <v>10</v>
      </c>
    </row>
    <row r="82" spans="1:4" ht="15.75" thickBot="1" x14ac:dyDescent="0.3">
      <c r="A82" s="282">
        <v>1081</v>
      </c>
      <c r="B82" s="283" t="s">
        <v>765</v>
      </c>
      <c r="C82" s="417"/>
      <c r="D82" s="44" t="s">
        <v>10</v>
      </c>
    </row>
    <row r="83" spans="1:4" x14ac:dyDescent="0.25">
      <c r="A83" s="284">
        <v>1082</v>
      </c>
      <c r="B83" s="285" t="s">
        <v>766</v>
      </c>
      <c r="C83" s="415" t="s">
        <v>448</v>
      </c>
      <c r="D83" s="275" t="s">
        <v>821</v>
      </c>
    </row>
    <row r="84" spans="1:4" x14ac:dyDescent="0.25">
      <c r="A84" s="286">
        <v>1083</v>
      </c>
      <c r="B84" s="287" t="s">
        <v>767</v>
      </c>
      <c r="C84" s="416"/>
      <c r="D84" s="272" t="s">
        <v>10</v>
      </c>
    </row>
    <row r="85" spans="1:4" x14ac:dyDescent="0.25">
      <c r="A85" s="286">
        <v>1084</v>
      </c>
      <c r="B85" s="287" t="s">
        <v>768</v>
      </c>
      <c r="C85" s="416"/>
      <c r="D85" s="272" t="s">
        <v>10</v>
      </c>
    </row>
    <row r="86" spans="1:4" x14ac:dyDescent="0.25">
      <c r="A86" s="286">
        <v>1085</v>
      </c>
      <c r="B86" s="287" t="s">
        <v>769</v>
      </c>
      <c r="C86" s="416"/>
      <c r="D86" s="272" t="s">
        <v>10</v>
      </c>
    </row>
    <row r="87" spans="1:4" ht="15.75" thickBot="1" x14ac:dyDescent="0.3">
      <c r="A87" s="288">
        <v>1086</v>
      </c>
      <c r="B87" s="289" t="s">
        <v>770</v>
      </c>
      <c r="C87" s="417"/>
      <c r="D87" s="44" t="s">
        <v>10</v>
      </c>
    </row>
    <row r="88" spans="1:4" x14ac:dyDescent="0.25">
      <c r="A88" s="280">
        <v>1087</v>
      </c>
      <c r="B88" s="281" t="s">
        <v>928</v>
      </c>
      <c r="C88" s="415" t="s">
        <v>924</v>
      </c>
      <c r="D88" s="146" t="s">
        <v>944</v>
      </c>
    </row>
    <row r="89" spans="1:4" ht="30.75" thickBot="1" x14ac:dyDescent="0.3">
      <c r="A89" s="282">
        <v>1088</v>
      </c>
      <c r="B89" s="283" t="s">
        <v>929</v>
      </c>
      <c r="C89" s="417"/>
      <c r="D89" s="143" t="s">
        <v>939</v>
      </c>
    </row>
    <row r="90" spans="1:4" x14ac:dyDescent="0.25">
      <c r="B90" s="394"/>
    </row>
    <row r="91" spans="1:4" x14ac:dyDescent="0.25">
      <c r="B91" s="394"/>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7" t="s">
        <v>89</v>
      </c>
      <c r="B1" s="13" t="s">
        <v>92</v>
      </c>
      <c r="C1" s="328" t="s">
        <v>478</v>
      </c>
      <c r="D1" s="328" t="s">
        <v>0</v>
      </c>
    </row>
    <row r="2" spans="1:4" x14ac:dyDescent="0.25">
      <c r="A2" s="183">
        <v>2001</v>
      </c>
      <c r="B2" s="184" t="s">
        <v>270</v>
      </c>
      <c r="C2" s="415" t="s">
        <v>361</v>
      </c>
      <c r="D2" s="146" t="s">
        <v>363</v>
      </c>
    </row>
    <row r="3" spans="1:4" x14ac:dyDescent="0.25">
      <c r="A3" s="300">
        <v>2002</v>
      </c>
      <c r="B3" s="306" t="s">
        <v>271</v>
      </c>
      <c r="C3" s="416"/>
      <c r="D3" s="270" t="s">
        <v>10</v>
      </c>
    </row>
    <row r="4" spans="1:4" x14ac:dyDescent="0.25">
      <c r="A4" s="300">
        <v>2003</v>
      </c>
      <c r="B4" s="306" t="s">
        <v>272</v>
      </c>
      <c r="C4" s="416"/>
      <c r="D4" s="270" t="s">
        <v>10</v>
      </c>
    </row>
    <row r="5" spans="1:4" x14ac:dyDescent="0.25">
      <c r="A5" s="300">
        <v>2004</v>
      </c>
      <c r="B5" s="306" t="s">
        <v>273</v>
      </c>
      <c r="C5" s="416"/>
      <c r="D5" s="270" t="s">
        <v>10</v>
      </c>
    </row>
    <row r="6" spans="1:4" x14ac:dyDescent="0.25">
      <c r="A6" s="300">
        <v>2005</v>
      </c>
      <c r="B6" s="306" t="s">
        <v>274</v>
      </c>
      <c r="C6" s="416"/>
      <c r="D6" s="270" t="s">
        <v>10</v>
      </c>
    </row>
    <row r="7" spans="1:4" ht="15.75" thickBot="1" x14ac:dyDescent="0.3">
      <c r="A7" s="185">
        <v>2006</v>
      </c>
      <c r="B7" s="186" t="s">
        <v>275</v>
      </c>
      <c r="C7" s="417"/>
      <c r="D7" s="143" t="s">
        <v>10</v>
      </c>
    </row>
    <row r="8" spans="1:4" ht="15.75" thickBot="1" x14ac:dyDescent="0.3">
      <c r="A8" s="187">
        <v>2007</v>
      </c>
      <c r="B8" s="188" t="s">
        <v>276</v>
      </c>
      <c r="C8" s="189" t="s">
        <v>462</v>
      </c>
      <c r="D8" s="190" t="s">
        <v>463</v>
      </c>
    </row>
    <row r="9" spans="1:4" x14ac:dyDescent="0.25">
      <c r="A9" s="135">
        <v>2008</v>
      </c>
      <c r="B9" s="136" t="s">
        <v>277</v>
      </c>
      <c r="C9" s="418" t="s">
        <v>464</v>
      </c>
      <c r="D9" s="146" t="s">
        <v>465</v>
      </c>
    </row>
    <row r="10" spans="1:4" x14ac:dyDescent="0.25">
      <c r="A10" s="298">
        <v>2009</v>
      </c>
      <c r="B10" s="138" t="s">
        <v>278</v>
      </c>
      <c r="C10" s="419"/>
      <c r="D10" s="270" t="s">
        <v>466</v>
      </c>
    </row>
    <row r="11" spans="1:4" x14ac:dyDescent="0.25">
      <c r="A11" s="298">
        <v>2010</v>
      </c>
      <c r="B11" s="138" t="s">
        <v>771</v>
      </c>
      <c r="C11" s="419"/>
      <c r="D11" s="270" t="s">
        <v>819</v>
      </c>
    </row>
    <row r="12" spans="1:4" x14ac:dyDescent="0.25">
      <c r="A12" s="298">
        <v>2011</v>
      </c>
      <c r="B12" s="138" t="s">
        <v>772</v>
      </c>
      <c r="C12" s="419"/>
      <c r="D12" s="270" t="s">
        <v>10</v>
      </c>
    </row>
    <row r="13" spans="1:4" x14ac:dyDescent="0.25">
      <c r="A13" s="298">
        <v>2012</v>
      </c>
      <c r="B13" s="138" t="s">
        <v>773</v>
      </c>
      <c r="C13" s="419"/>
      <c r="D13" s="270" t="s">
        <v>10</v>
      </c>
    </row>
    <row r="14" spans="1:4" x14ac:dyDescent="0.25">
      <c r="A14" s="298">
        <v>2013</v>
      </c>
      <c r="B14" s="138" t="s">
        <v>774</v>
      </c>
      <c r="C14" s="419"/>
      <c r="D14" s="270" t="s">
        <v>10</v>
      </c>
    </row>
    <row r="15" spans="1:4" x14ac:dyDescent="0.25">
      <c r="A15" s="298">
        <v>2014</v>
      </c>
      <c r="B15" s="138" t="s">
        <v>775</v>
      </c>
      <c r="C15" s="419"/>
      <c r="D15" s="270" t="s">
        <v>10</v>
      </c>
    </row>
    <row r="16" spans="1:4" x14ac:dyDescent="0.25">
      <c r="A16" s="298">
        <v>2015</v>
      </c>
      <c r="B16" s="138" t="s">
        <v>776</v>
      </c>
      <c r="C16" s="419"/>
      <c r="D16" s="270" t="s">
        <v>10</v>
      </c>
    </row>
    <row r="17" spans="1:4" ht="15.75" thickBot="1" x14ac:dyDescent="0.3">
      <c r="A17" s="140">
        <v>2016</v>
      </c>
      <c r="B17" s="178" t="s">
        <v>777</v>
      </c>
      <c r="C17" s="420"/>
      <c r="D17" s="143" t="s">
        <v>10</v>
      </c>
    </row>
    <row r="18" spans="1:4" x14ac:dyDescent="0.25">
      <c r="A18" s="163">
        <v>2017</v>
      </c>
      <c r="B18" s="176" t="s">
        <v>279</v>
      </c>
      <c r="C18" s="415" t="s">
        <v>467</v>
      </c>
      <c r="D18" s="146" t="s">
        <v>468</v>
      </c>
    </row>
    <row r="19" spans="1:4" x14ac:dyDescent="0.25">
      <c r="A19" s="299">
        <v>2018</v>
      </c>
      <c r="B19" s="301" t="s">
        <v>280</v>
      </c>
      <c r="C19" s="416"/>
      <c r="D19" s="270" t="s">
        <v>469</v>
      </c>
    </row>
    <row r="20" spans="1:4" ht="15.75" thickBot="1" x14ac:dyDescent="0.3">
      <c r="A20" s="166">
        <v>2019</v>
      </c>
      <c r="B20" s="177" t="s">
        <v>281</v>
      </c>
      <c r="C20" s="417"/>
      <c r="D20" s="143" t="s">
        <v>470</v>
      </c>
    </row>
    <row r="21" spans="1:4" x14ac:dyDescent="0.25">
      <c r="A21" s="153">
        <v>2020</v>
      </c>
      <c r="B21" s="154" t="s">
        <v>282</v>
      </c>
      <c r="C21" s="418" t="s">
        <v>406</v>
      </c>
      <c r="D21" s="146" t="s">
        <v>471</v>
      </c>
    </row>
    <row r="22" spans="1:4" x14ac:dyDescent="0.25">
      <c r="A22" s="305">
        <v>2021</v>
      </c>
      <c r="B22" s="155" t="s">
        <v>283</v>
      </c>
      <c r="C22" s="419"/>
      <c r="D22" s="270" t="s">
        <v>10</v>
      </c>
    </row>
    <row r="23" spans="1:4" x14ac:dyDescent="0.25">
      <c r="A23" s="305">
        <v>2022</v>
      </c>
      <c r="B23" s="155" t="s">
        <v>284</v>
      </c>
      <c r="C23" s="419"/>
      <c r="D23" s="270" t="s">
        <v>10</v>
      </c>
    </row>
    <row r="24" spans="1:4" x14ac:dyDescent="0.25">
      <c r="A24" s="305">
        <v>2023</v>
      </c>
      <c r="B24" s="155" t="s">
        <v>285</v>
      </c>
      <c r="C24" s="419"/>
      <c r="D24" s="270" t="s">
        <v>10</v>
      </c>
    </row>
    <row r="25" spans="1:4" x14ac:dyDescent="0.25">
      <c r="A25" s="305">
        <v>2024</v>
      </c>
      <c r="B25" s="155" t="s">
        <v>286</v>
      </c>
      <c r="C25" s="419"/>
      <c r="D25" s="270" t="s">
        <v>10</v>
      </c>
    </row>
    <row r="26" spans="1:4" x14ac:dyDescent="0.25">
      <c r="A26" s="305">
        <v>2025</v>
      </c>
      <c r="B26" s="155" t="s">
        <v>287</v>
      </c>
      <c r="C26" s="419"/>
      <c r="D26" s="270" t="s">
        <v>10</v>
      </c>
    </row>
    <row r="27" spans="1:4" x14ac:dyDescent="0.25">
      <c r="A27" s="305">
        <v>2026</v>
      </c>
      <c r="B27" s="155" t="s">
        <v>288</v>
      </c>
      <c r="C27" s="419"/>
      <c r="D27" s="270" t="s">
        <v>10</v>
      </c>
    </row>
    <row r="28" spans="1:4" x14ac:dyDescent="0.25">
      <c r="A28" s="305">
        <v>2027</v>
      </c>
      <c r="B28" s="155" t="s">
        <v>289</v>
      </c>
      <c r="C28" s="419"/>
      <c r="D28" s="270" t="s">
        <v>10</v>
      </c>
    </row>
    <row r="29" spans="1:4" x14ac:dyDescent="0.25">
      <c r="A29" s="305">
        <v>2028</v>
      </c>
      <c r="B29" s="155" t="s">
        <v>290</v>
      </c>
      <c r="C29" s="419"/>
      <c r="D29" s="270" t="s">
        <v>10</v>
      </c>
    </row>
    <row r="30" spans="1:4" x14ac:dyDescent="0.25">
      <c r="A30" s="305">
        <v>2029</v>
      </c>
      <c r="B30" s="155" t="s">
        <v>291</v>
      </c>
      <c r="C30" s="419"/>
      <c r="D30" s="270" t="s">
        <v>10</v>
      </c>
    </row>
    <row r="31" spans="1:4" x14ac:dyDescent="0.25">
      <c r="A31" s="305">
        <v>2030</v>
      </c>
      <c r="B31" s="155" t="s">
        <v>292</v>
      </c>
      <c r="C31" s="419"/>
      <c r="D31" s="270" t="s">
        <v>10</v>
      </c>
    </row>
    <row r="32" spans="1:4" x14ac:dyDescent="0.25">
      <c r="A32" s="305">
        <v>2031</v>
      </c>
      <c r="B32" s="155" t="s">
        <v>293</v>
      </c>
      <c r="C32" s="419"/>
      <c r="D32" s="270" t="s">
        <v>10</v>
      </c>
    </row>
    <row r="33" spans="1:4" x14ac:dyDescent="0.25">
      <c r="A33" s="305">
        <v>2032</v>
      </c>
      <c r="B33" s="155" t="s">
        <v>294</v>
      </c>
      <c r="C33" s="419"/>
      <c r="D33" s="270" t="s">
        <v>408</v>
      </c>
    </row>
    <row r="34" spans="1:4" x14ac:dyDescent="0.25">
      <c r="A34" s="305">
        <v>2033</v>
      </c>
      <c r="B34" s="155" t="s">
        <v>295</v>
      </c>
      <c r="C34" s="419"/>
      <c r="D34" s="270" t="s">
        <v>409</v>
      </c>
    </row>
    <row r="35" spans="1:4" x14ac:dyDescent="0.25">
      <c r="A35" s="305">
        <v>2034</v>
      </c>
      <c r="B35" s="155" t="s">
        <v>296</v>
      </c>
      <c r="C35" s="419"/>
      <c r="D35" s="270" t="s">
        <v>410</v>
      </c>
    </row>
    <row r="36" spans="1:4" x14ac:dyDescent="0.25">
      <c r="A36" s="305">
        <v>2035</v>
      </c>
      <c r="B36" s="155" t="s">
        <v>297</v>
      </c>
      <c r="C36" s="419"/>
      <c r="D36" s="270" t="s">
        <v>411</v>
      </c>
    </row>
    <row r="37" spans="1:4" x14ac:dyDescent="0.25">
      <c r="A37" s="305">
        <v>2036</v>
      </c>
      <c r="B37" s="155" t="s">
        <v>298</v>
      </c>
      <c r="C37" s="419"/>
      <c r="D37" s="270" t="s">
        <v>472</v>
      </c>
    </row>
    <row r="38" spans="1:4" x14ac:dyDescent="0.25">
      <c r="A38" s="305">
        <v>2037</v>
      </c>
      <c r="B38" s="155" t="s">
        <v>299</v>
      </c>
      <c r="C38" s="419"/>
      <c r="D38" s="270" t="s">
        <v>472</v>
      </c>
    </row>
    <row r="39" spans="1:4" x14ac:dyDescent="0.25">
      <c r="A39" s="305">
        <v>2038</v>
      </c>
      <c r="B39" s="155" t="s">
        <v>300</v>
      </c>
      <c r="C39" s="419"/>
      <c r="D39" s="270" t="s">
        <v>438</v>
      </c>
    </row>
    <row r="40" spans="1:4" x14ac:dyDescent="0.25">
      <c r="A40" s="305">
        <v>2039</v>
      </c>
      <c r="B40" s="155" t="s">
        <v>301</v>
      </c>
      <c r="C40" s="419"/>
      <c r="D40" s="270" t="s">
        <v>438</v>
      </c>
    </row>
    <row r="41" spans="1:4" x14ac:dyDescent="0.25">
      <c r="A41" s="305">
        <v>2040</v>
      </c>
      <c r="B41" s="155" t="s">
        <v>302</v>
      </c>
      <c r="C41" s="419"/>
      <c r="D41" s="270" t="s">
        <v>412</v>
      </c>
    </row>
    <row r="42" spans="1:4" x14ac:dyDescent="0.25">
      <c r="A42" s="305">
        <v>2041</v>
      </c>
      <c r="B42" s="155" t="s">
        <v>303</v>
      </c>
      <c r="C42" s="419"/>
      <c r="D42" s="270" t="s">
        <v>413</v>
      </c>
    </row>
    <row r="43" spans="1:4" x14ac:dyDescent="0.25">
      <c r="A43" s="305">
        <v>2042</v>
      </c>
      <c r="B43" s="155" t="s">
        <v>784</v>
      </c>
      <c r="C43" s="419"/>
      <c r="D43" s="270" t="s">
        <v>803</v>
      </c>
    </row>
    <row r="44" spans="1:4" x14ac:dyDescent="0.25">
      <c r="A44" s="305">
        <v>2043</v>
      </c>
      <c r="B44" s="155" t="s">
        <v>785</v>
      </c>
      <c r="C44" s="419"/>
      <c r="D44" s="270" t="s">
        <v>804</v>
      </c>
    </row>
    <row r="45" spans="1:4" x14ac:dyDescent="0.25">
      <c r="A45" s="305">
        <v>2044</v>
      </c>
      <c r="B45" s="155" t="s">
        <v>304</v>
      </c>
      <c r="C45" s="419"/>
      <c r="D45" s="270" t="s">
        <v>473</v>
      </c>
    </row>
    <row r="46" spans="1:4" x14ac:dyDescent="0.25">
      <c r="A46" s="305">
        <v>2045</v>
      </c>
      <c r="B46" s="155" t="s">
        <v>355</v>
      </c>
      <c r="C46" s="419"/>
      <c r="D46" s="270" t="s">
        <v>474</v>
      </c>
    </row>
    <row r="47" spans="1:4" x14ac:dyDescent="0.25">
      <c r="A47" s="305">
        <v>2046</v>
      </c>
      <c r="B47" s="155" t="s">
        <v>782</v>
      </c>
      <c r="C47" s="419"/>
      <c r="D47" s="270" t="s">
        <v>795</v>
      </c>
    </row>
    <row r="48" spans="1:4" ht="15.75" thickBot="1" x14ac:dyDescent="0.3">
      <c r="A48" s="158">
        <v>2047</v>
      </c>
      <c r="B48" s="175" t="s">
        <v>783</v>
      </c>
      <c r="C48" s="420"/>
      <c r="D48" s="143" t="s">
        <v>796</v>
      </c>
    </row>
    <row r="49" spans="1:4" ht="15" customHeight="1" x14ac:dyDescent="0.25">
      <c r="A49" s="163">
        <v>2048</v>
      </c>
      <c r="B49" s="176" t="s">
        <v>305</v>
      </c>
      <c r="C49" s="415" t="s">
        <v>467</v>
      </c>
      <c r="D49" s="146" t="s">
        <v>398</v>
      </c>
    </row>
    <row r="50" spans="1:4" x14ac:dyDescent="0.25">
      <c r="A50" s="299">
        <v>2049</v>
      </c>
      <c r="B50" s="301" t="s">
        <v>306</v>
      </c>
      <c r="C50" s="416"/>
      <c r="D50" s="270" t="s">
        <v>399</v>
      </c>
    </row>
    <row r="51" spans="1:4" x14ac:dyDescent="0.25">
      <c r="A51" s="299">
        <v>2050</v>
      </c>
      <c r="B51" s="301" t="s">
        <v>786</v>
      </c>
      <c r="C51" s="416"/>
      <c r="D51" s="270" t="s">
        <v>400</v>
      </c>
    </row>
    <row r="52" spans="1:4" x14ac:dyDescent="0.25">
      <c r="A52" s="299">
        <v>2051</v>
      </c>
      <c r="B52" s="301" t="s">
        <v>787</v>
      </c>
      <c r="C52" s="416"/>
      <c r="D52" s="270" t="s">
        <v>401</v>
      </c>
    </row>
    <row r="53" spans="1:4" x14ac:dyDescent="0.25">
      <c r="A53" s="299">
        <v>2052</v>
      </c>
      <c r="B53" s="301" t="s">
        <v>307</v>
      </c>
      <c r="C53" s="416"/>
      <c r="D53" s="270" t="s">
        <v>402</v>
      </c>
    </row>
    <row r="54" spans="1:4" x14ac:dyDescent="0.25">
      <c r="A54" s="299">
        <v>2053</v>
      </c>
      <c r="B54" s="301" t="s">
        <v>308</v>
      </c>
      <c r="C54" s="416"/>
      <c r="D54" s="270" t="s">
        <v>403</v>
      </c>
    </row>
    <row r="55" spans="1:4" ht="29.45" customHeight="1" x14ac:dyDescent="0.25">
      <c r="A55" s="299">
        <v>2054</v>
      </c>
      <c r="B55" s="301" t="s">
        <v>336</v>
      </c>
      <c r="C55" s="416"/>
      <c r="D55" s="270" t="s">
        <v>827</v>
      </c>
    </row>
    <row r="56" spans="1:4" ht="15.75" thickBot="1" x14ac:dyDescent="0.3">
      <c r="A56" s="166">
        <v>2055</v>
      </c>
      <c r="B56" s="177" t="s">
        <v>337</v>
      </c>
      <c r="C56" s="417"/>
      <c r="D56" s="143" t="s">
        <v>10</v>
      </c>
    </row>
    <row r="57" spans="1:4" x14ac:dyDescent="0.25">
      <c r="A57" s="179">
        <v>2056</v>
      </c>
      <c r="B57" s="180" t="s">
        <v>778</v>
      </c>
      <c r="C57" s="415" t="s">
        <v>448</v>
      </c>
      <c r="D57" s="146" t="s">
        <v>475</v>
      </c>
    </row>
    <row r="58" spans="1:4" x14ac:dyDescent="0.25">
      <c r="A58" s="303">
        <v>2057</v>
      </c>
      <c r="B58" s="302" t="s">
        <v>779</v>
      </c>
      <c r="C58" s="416"/>
      <c r="D58" s="270" t="s">
        <v>826</v>
      </c>
    </row>
    <row r="59" spans="1:4" ht="15" customHeight="1" x14ac:dyDescent="0.25">
      <c r="A59" s="303">
        <v>2058</v>
      </c>
      <c r="B59" s="302" t="s">
        <v>309</v>
      </c>
      <c r="C59" s="416"/>
      <c r="D59" s="270" t="s">
        <v>475</v>
      </c>
    </row>
    <row r="60" spans="1:4" x14ac:dyDescent="0.25">
      <c r="A60" s="303">
        <v>2059</v>
      </c>
      <c r="B60" s="302" t="s">
        <v>310</v>
      </c>
      <c r="C60" s="416"/>
      <c r="D60" s="270" t="s">
        <v>10</v>
      </c>
    </row>
    <row r="61" spans="1:4" x14ac:dyDescent="0.25">
      <c r="A61" s="303">
        <v>2060</v>
      </c>
      <c r="B61" s="302" t="s">
        <v>311</v>
      </c>
      <c r="C61" s="416"/>
      <c r="D61" s="270" t="s">
        <v>10</v>
      </c>
    </row>
    <row r="62" spans="1:4" x14ac:dyDescent="0.25">
      <c r="A62" s="303">
        <v>2061</v>
      </c>
      <c r="B62" s="302" t="s">
        <v>312</v>
      </c>
      <c r="C62" s="416"/>
      <c r="D62" s="270" t="s">
        <v>10</v>
      </c>
    </row>
    <row r="63" spans="1:4" ht="30" x14ac:dyDescent="0.25">
      <c r="A63" s="303">
        <v>2062</v>
      </c>
      <c r="B63" s="302" t="s">
        <v>328</v>
      </c>
      <c r="C63" s="416"/>
      <c r="D63" s="270" t="s">
        <v>451</v>
      </c>
    </row>
    <row r="64" spans="1:4" ht="30" x14ac:dyDescent="0.25">
      <c r="A64" s="303">
        <v>2063</v>
      </c>
      <c r="B64" s="302" t="s">
        <v>329</v>
      </c>
      <c r="C64" s="416"/>
      <c r="D64" s="270" t="s">
        <v>452</v>
      </c>
    </row>
    <row r="65" spans="1:4" ht="30" x14ac:dyDescent="0.25">
      <c r="A65" s="303">
        <v>2064</v>
      </c>
      <c r="B65" s="302" t="s">
        <v>780</v>
      </c>
      <c r="C65" s="416"/>
      <c r="D65" s="270" t="s">
        <v>822</v>
      </c>
    </row>
    <row r="66" spans="1:4" ht="30" x14ac:dyDescent="0.25">
      <c r="A66" s="303">
        <v>2065</v>
      </c>
      <c r="B66" s="302" t="s">
        <v>781</v>
      </c>
      <c r="C66" s="416"/>
      <c r="D66" s="270" t="s">
        <v>823</v>
      </c>
    </row>
    <row r="67" spans="1:4" ht="30" x14ac:dyDescent="0.25">
      <c r="A67" s="303">
        <v>2066</v>
      </c>
      <c r="B67" s="302" t="s">
        <v>353</v>
      </c>
      <c r="C67" s="416"/>
      <c r="D67" s="270" t="s">
        <v>460</v>
      </c>
    </row>
    <row r="68" spans="1:4" ht="30" x14ac:dyDescent="0.25">
      <c r="A68" s="303">
        <v>2067</v>
      </c>
      <c r="B68" s="302" t="s">
        <v>354</v>
      </c>
      <c r="C68" s="416"/>
      <c r="D68" s="270" t="s">
        <v>461</v>
      </c>
    </row>
    <row r="69" spans="1:4" x14ac:dyDescent="0.25">
      <c r="A69" s="303">
        <v>2068</v>
      </c>
      <c r="B69" s="302" t="s">
        <v>335</v>
      </c>
      <c r="C69" s="416"/>
      <c r="D69" s="270" t="s">
        <v>453</v>
      </c>
    </row>
    <row r="70" spans="1:4" x14ac:dyDescent="0.25">
      <c r="A70" s="303">
        <v>2069</v>
      </c>
      <c r="B70" s="302" t="s">
        <v>331</v>
      </c>
      <c r="C70" s="416"/>
      <c r="D70" s="270" t="s">
        <v>10</v>
      </c>
    </row>
    <row r="71" spans="1:4" x14ac:dyDescent="0.25">
      <c r="A71" s="303">
        <v>2070</v>
      </c>
      <c r="B71" s="302" t="s">
        <v>332</v>
      </c>
      <c r="C71" s="416"/>
      <c r="D71" s="270" t="s">
        <v>10</v>
      </c>
    </row>
    <row r="72" spans="1:4" x14ac:dyDescent="0.25">
      <c r="A72" s="303">
        <v>2071</v>
      </c>
      <c r="B72" s="302" t="s">
        <v>334</v>
      </c>
      <c r="C72" s="416"/>
      <c r="D72" s="270" t="s">
        <v>10</v>
      </c>
    </row>
    <row r="73" spans="1:4" x14ac:dyDescent="0.25">
      <c r="A73" s="303">
        <v>2072</v>
      </c>
      <c r="B73" s="302" t="s">
        <v>333</v>
      </c>
      <c r="C73" s="416"/>
      <c r="D73" s="270" t="s">
        <v>10</v>
      </c>
    </row>
    <row r="74" spans="1:4" x14ac:dyDescent="0.25">
      <c r="A74" s="303">
        <v>2073</v>
      </c>
      <c r="B74" s="302" t="s">
        <v>313</v>
      </c>
      <c r="C74" s="416"/>
      <c r="D74" s="270" t="s">
        <v>454</v>
      </c>
    </row>
    <row r="75" spans="1:4" x14ac:dyDescent="0.25">
      <c r="A75" s="303">
        <v>2074</v>
      </c>
      <c r="B75" s="302" t="s">
        <v>314</v>
      </c>
      <c r="C75" s="416"/>
      <c r="D75" s="270" t="s">
        <v>455</v>
      </c>
    </row>
    <row r="76" spans="1:4" x14ac:dyDescent="0.25">
      <c r="A76" s="303">
        <v>2075</v>
      </c>
      <c r="B76" s="302" t="s">
        <v>315</v>
      </c>
      <c r="C76" s="416"/>
      <c r="D76" s="270" t="s">
        <v>456</v>
      </c>
    </row>
    <row r="77" spans="1:4" ht="15.75" thickBot="1" x14ac:dyDescent="0.3">
      <c r="A77" s="181">
        <v>2076</v>
      </c>
      <c r="B77" s="182" t="s">
        <v>316</v>
      </c>
      <c r="C77" s="417"/>
      <c r="D77" s="143" t="s">
        <v>457</v>
      </c>
    </row>
    <row r="78" spans="1:4" ht="15.75" thickBot="1" x14ac:dyDescent="0.3">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155"/>
  <sheetViews>
    <sheetView zoomScaleNormal="100" workbookViewId="0">
      <pane ySplit="1" topLeftCell="A119"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9" t="s">
        <v>89</v>
      </c>
      <c r="B1" s="314" t="s">
        <v>92</v>
      </c>
      <c r="C1" s="331" t="s">
        <v>478</v>
      </c>
      <c r="D1" s="341" t="s">
        <v>0</v>
      </c>
    </row>
    <row r="2" spans="1:4" x14ac:dyDescent="0.25">
      <c r="A2" s="333"/>
      <c r="B2" s="333"/>
      <c r="C2" s="423" t="s">
        <v>843</v>
      </c>
      <c r="D2" s="421" t="s">
        <v>907</v>
      </c>
    </row>
    <row r="3" spans="1:4" x14ac:dyDescent="0.25">
      <c r="A3" s="333"/>
      <c r="B3" s="333"/>
      <c r="C3" s="423"/>
      <c r="D3" s="421"/>
    </row>
    <row r="4" spans="1:4" x14ac:dyDescent="0.25">
      <c r="A4" s="333"/>
      <c r="B4" s="333"/>
      <c r="C4" s="423"/>
      <c r="D4" s="421"/>
    </row>
    <row r="5" spans="1:4" x14ac:dyDescent="0.25">
      <c r="A5" s="333"/>
      <c r="B5" s="333"/>
      <c r="C5" s="423"/>
      <c r="D5" s="421"/>
    </row>
    <row r="6" spans="1:4" x14ac:dyDescent="0.25">
      <c r="A6" s="333"/>
      <c r="B6" s="333"/>
      <c r="C6" s="423"/>
      <c r="D6" s="421"/>
    </row>
    <row r="7" spans="1:4" x14ac:dyDescent="0.25">
      <c r="A7" s="333"/>
      <c r="B7" s="333"/>
      <c r="C7" s="423"/>
      <c r="D7" s="421"/>
    </row>
    <row r="8" spans="1:4" x14ac:dyDescent="0.25">
      <c r="A8" s="333"/>
      <c r="B8" s="333"/>
      <c r="C8" s="423"/>
      <c r="D8" s="421"/>
    </row>
    <row r="9" spans="1:4" x14ac:dyDescent="0.25">
      <c r="A9" s="333"/>
      <c r="B9" s="333"/>
      <c r="C9" s="423"/>
      <c r="D9" s="421"/>
    </row>
    <row r="10" spans="1:4" x14ac:dyDescent="0.25">
      <c r="A10" s="333"/>
      <c r="B10" s="333"/>
      <c r="C10" s="423"/>
      <c r="D10" s="421"/>
    </row>
    <row r="11" spans="1:4" x14ac:dyDescent="0.25">
      <c r="A11" s="333"/>
      <c r="B11" s="333"/>
      <c r="C11" s="423"/>
      <c r="D11" s="421"/>
    </row>
    <row r="12" spans="1:4" x14ac:dyDescent="0.25">
      <c r="A12" s="333"/>
      <c r="B12" s="333"/>
      <c r="C12" s="423"/>
      <c r="D12" s="421"/>
    </row>
    <row r="13" spans="1:4" x14ac:dyDescent="0.25">
      <c r="A13" s="333"/>
      <c r="B13" s="333"/>
      <c r="C13" s="423"/>
      <c r="D13" s="421"/>
    </row>
    <row r="14" spans="1:4" x14ac:dyDescent="0.25">
      <c r="A14" s="333"/>
      <c r="B14" s="333"/>
      <c r="C14" s="423"/>
      <c r="D14" s="421"/>
    </row>
    <row r="15" spans="1:4" x14ac:dyDescent="0.25">
      <c r="A15" s="333"/>
      <c r="B15" s="333"/>
      <c r="C15" s="423"/>
      <c r="D15" s="421"/>
    </row>
    <row r="16" spans="1:4" x14ac:dyDescent="0.25">
      <c r="A16" s="333"/>
      <c r="B16" s="333"/>
      <c r="C16" s="423"/>
      <c r="D16" s="421"/>
    </row>
    <row r="17" spans="1:4" ht="15.75" thickBot="1" x14ac:dyDescent="0.3">
      <c r="A17" s="315"/>
      <c r="B17" s="315"/>
      <c r="C17" s="424"/>
      <c r="D17" s="422"/>
    </row>
    <row r="18" spans="1:4" ht="14.45" customHeight="1" x14ac:dyDescent="0.25">
      <c r="A18" s="335"/>
      <c r="B18" s="335"/>
      <c r="C18" s="416" t="s">
        <v>361</v>
      </c>
      <c r="D18" s="421" t="s">
        <v>844</v>
      </c>
    </row>
    <row r="19" spans="1:4" x14ac:dyDescent="0.25">
      <c r="A19" s="335"/>
      <c r="B19" s="335"/>
      <c r="C19" s="416"/>
      <c r="D19" s="421"/>
    </row>
    <row r="20" spans="1:4" x14ac:dyDescent="0.25">
      <c r="A20" s="335"/>
      <c r="B20" s="335"/>
      <c r="C20" s="416"/>
      <c r="D20" s="421"/>
    </row>
    <row r="21" spans="1:4" x14ac:dyDescent="0.25">
      <c r="A21" s="335"/>
      <c r="B21" s="335"/>
      <c r="C21" s="416"/>
      <c r="D21" s="421"/>
    </row>
    <row r="22" spans="1:4" x14ac:dyDescent="0.25">
      <c r="A22" s="335"/>
      <c r="B22" s="335"/>
      <c r="C22" s="416"/>
      <c r="D22" s="421"/>
    </row>
    <row r="23" spans="1:4" x14ac:dyDescent="0.25">
      <c r="A23" s="335"/>
      <c r="B23" s="335"/>
      <c r="C23" s="416"/>
      <c r="D23" s="421"/>
    </row>
    <row r="24" spans="1:4" x14ac:dyDescent="0.25">
      <c r="A24" s="335"/>
      <c r="B24" s="335"/>
      <c r="C24" s="416"/>
      <c r="D24" s="421"/>
    </row>
    <row r="25" spans="1:4" x14ac:dyDescent="0.25">
      <c r="A25" s="335"/>
      <c r="B25" s="335"/>
      <c r="C25" s="416"/>
      <c r="D25" s="421"/>
    </row>
    <row r="26" spans="1:4" ht="14.45" customHeight="1" x14ac:dyDescent="0.25">
      <c r="A26" s="335"/>
      <c r="B26" s="335"/>
      <c r="C26" s="416"/>
      <c r="D26" s="421"/>
    </row>
    <row r="27" spans="1:4" x14ac:dyDescent="0.25">
      <c r="A27" s="335"/>
      <c r="B27" s="335"/>
      <c r="C27" s="416"/>
      <c r="D27" s="421"/>
    </row>
    <row r="28" spans="1:4" x14ac:dyDescent="0.25">
      <c r="A28" s="335"/>
      <c r="B28" s="335"/>
      <c r="C28" s="416"/>
      <c r="D28" s="421"/>
    </row>
    <row r="29" spans="1:4" x14ac:dyDescent="0.25">
      <c r="A29" s="335"/>
      <c r="B29" s="335"/>
      <c r="C29" s="416"/>
      <c r="D29" s="421"/>
    </row>
    <row r="30" spans="1:4" x14ac:dyDescent="0.25">
      <c r="A30" s="335"/>
      <c r="B30" s="335"/>
      <c r="C30" s="416"/>
      <c r="D30" s="421"/>
    </row>
    <row r="31" spans="1:4" x14ac:dyDescent="0.25">
      <c r="A31" s="335"/>
      <c r="B31" s="335"/>
      <c r="C31" s="416"/>
      <c r="D31" s="421"/>
    </row>
    <row r="32" spans="1:4" x14ac:dyDescent="0.25">
      <c r="A32" s="335"/>
      <c r="B32" s="335"/>
      <c r="C32" s="416"/>
      <c r="D32" s="421"/>
    </row>
    <row r="33" spans="1:4" x14ac:dyDescent="0.25">
      <c r="A33" s="335"/>
      <c r="B33" s="335"/>
      <c r="C33" s="416"/>
      <c r="D33" s="421"/>
    </row>
    <row r="34" spans="1:4" x14ac:dyDescent="0.25">
      <c r="A34" s="335"/>
      <c r="B34" s="335"/>
      <c r="C34" s="416"/>
      <c r="D34" s="421"/>
    </row>
    <row r="35" spans="1:4" x14ac:dyDescent="0.25">
      <c r="A35" s="335"/>
      <c r="B35" s="335"/>
      <c r="C35" s="416"/>
      <c r="D35" s="421"/>
    </row>
    <row r="36" spans="1:4" x14ac:dyDescent="0.25">
      <c r="A36" s="335"/>
      <c r="B36" s="335"/>
      <c r="C36" s="416"/>
      <c r="D36" s="421"/>
    </row>
    <row r="37" spans="1:4" ht="15.75" thickBot="1" x14ac:dyDescent="0.3">
      <c r="A37" s="316"/>
      <c r="B37" s="316"/>
      <c r="C37" s="417"/>
      <c r="D37" s="422"/>
    </row>
    <row r="38" spans="1:4" ht="14.45" customHeight="1" x14ac:dyDescent="0.25">
      <c r="A38" s="334"/>
      <c r="B38" s="334"/>
      <c r="C38" s="416" t="s">
        <v>845</v>
      </c>
      <c r="D38" s="421" t="s">
        <v>846</v>
      </c>
    </row>
    <row r="39" spans="1:4" x14ac:dyDescent="0.25">
      <c r="A39" s="334"/>
      <c r="B39" s="334"/>
      <c r="C39" s="416"/>
      <c r="D39" s="421"/>
    </row>
    <row r="40" spans="1:4" x14ac:dyDescent="0.25">
      <c r="A40" s="334"/>
      <c r="B40" s="334"/>
      <c r="C40" s="416"/>
      <c r="D40" s="421"/>
    </row>
    <row r="41" spans="1:4" x14ac:dyDescent="0.25">
      <c r="A41" s="334"/>
      <c r="B41" s="334"/>
      <c r="C41" s="416"/>
      <c r="D41" s="421"/>
    </row>
    <row r="42" spans="1:4" x14ac:dyDescent="0.25">
      <c r="A42" s="334"/>
      <c r="B42" s="334"/>
      <c r="C42" s="416"/>
      <c r="D42" s="421"/>
    </row>
    <row r="43" spans="1:4" x14ac:dyDescent="0.25">
      <c r="A43" s="334"/>
      <c r="B43" s="334"/>
      <c r="C43" s="416"/>
      <c r="D43" s="421"/>
    </row>
    <row r="44" spans="1:4" x14ac:dyDescent="0.25">
      <c r="A44" s="334"/>
      <c r="B44" s="334"/>
      <c r="C44" s="416"/>
      <c r="D44" s="421"/>
    </row>
    <row r="45" spans="1:4" x14ac:dyDescent="0.25">
      <c r="A45" s="334"/>
      <c r="B45" s="334"/>
      <c r="C45" s="416"/>
      <c r="D45" s="421"/>
    </row>
    <row r="46" spans="1:4" x14ac:dyDescent="0.25">
      <c r="A46" s="334"/>
      <c r="B46" s="334"/>
      <c r="C46" s="416"/>
      <c r="D46" s="421"/>
    </row>
    <row r="47" spans="1:4" x14ac:dyDescent="0.25">
      <c r="A47" s="334"/>
      <c r="B47" s="334"/>
      <c r="C47" s="416"/>
      <c r="D47" s="421"/>
    </row>
    <row r="48" spans="1:4" x14ac:dyDescent="0.25">
      <c r="A48" s="334"/>
      <c r="B48" s="334"/>
      <c r="C48" s="416"/>
      <c r="D48" s="421"/>
    </row>
    <row r="49" spans="1:4" x14ac:dyDescent="0.25">
      <c r="A49" s="334"/>
      <c r="B49" s="334"/>
      <c r="C49" s="416"/>
      <c r="D49" s="421"/>
    </row>
    <row r="50" spans="1:4" x14ac:dyDescent="0.25">
      <c r="A50" s="334"/>
      <c r="B50" s="334"/>
      <c r="C50" s="416"/>
      <c r="D50" s="421"/>
    </row>
    <row r="51" spans="1:4" x14ac:dyDescent="0.25">
      <c r="A51" s="334"/>
      <c r="B51" s="334"/>
      <c r="C51" s="416"/>
      <c r="D51" s="421"/>
    </row>
    <row r="52" spans="1:4" x14ac:dyDescent="0.25">
      <c r="A52" s="334"/>
      <c r="B52" s="334"/>
      <c r="C52" s="416"/>
      <c r="D52" s="421"/>
    </row>
    <row r="53" spans="1:4" x14ac:dyDescent="0.25">
      <c r="A53" s="334"/>
      <c r="B53" s="334"/>
      <c r="C53" s="416"/>
      <c r="D53" s="421"/>
    </row>
    <row r="54" spans="1:4" x14ac:dyDescent="0.25">
      <c r="A54" s="334"/>
      <c r="B54" s="334"/>
      <c r="C54" s="416"/>
      <c r="D54" s="421"/>
    </row>
    <row r="55" spans="1:4" x14ac:dyDescent="0.25">
      <c r="A55" s="334"/>
      <c r="B55" s="334"/>
      <c r="C55" s="416"/>
      <c r="D55" s="421"/>
    </row>
    <row r="56" spans="1:4" x14ac:dyDescent="0.25">
      <c r="A56" s="334"/>
      <c r="B56" s="334"/>
      <c r="C56" s="416"/>
      <c r="D56" s="421"/>
    </row>
    <row r="57" spans="1:4" ht="15.75" thickBot="1" x14ac:dyDescent="0.3">
      <c r="A57" s="317"/>
      <c r="B57" s="317"/>
      <c r="C57" s="417"/>
      <c r="D57" s="422"/>
    </row>
    <row r="58" spans="1:4" x14ac:dyDescent="0.25">
      <c r="A58" s="336"/>
      <c r="B58" s="336"/>
      <c r="C58" s="416" t="s">
        <v>847</v>
      </c>
      <c r="D58" s="421" t="s">
        <v>848</v>
      </c>
    </row>
    <row r="59" spans="1:4" x14ac:dyDescent="0.25">
      <c r="A59" s="336"/>
      <c r="B59" s="336"/>
      <c r="C59" s="416"/>
      <c r="D59" s="421"/>
    </row>
    <row r="60" spans="1:4" x14ac:dyDescent="0.25">
      <c r="A60" s="336"/>
      <c r="B60" s="336"/>
      <c r="C60" s="416"/>
      <c r="D60" s="421"/>
    </row>
    <row r="61" spans="1:4" x14ac:dyDescent="0.25">
      <c r="A61" s="336"/>
      <c r="B61" s="336"/>
      <c r="C61" s="416"/>
      <c r="D61" s="421"/>
    </row>
    <row r="62" spans="1:4" x14ac:dyDescent="0.25">
      <c r="A62" s="336"/>
      <c r="B62" s="336"/>
      <c r="C62" s="416"/>
      <c r="D62" s="421"/>
    </row>
    <row r="63" spans="1:4" x14ac:dyDescent="0.25">
      <c r="A63" s="336"/>
      <c r="B63" s="336"/>
      <c r="C63" s="416"/>
      <c r="D63" s="421"/>
    </row>
    <row r="64" spans="1:4" x14ac:dyDescent="0.25">
      <c r="A64" s="336"/>
      <c r="B64" s="336"/>
      <c r="C64" s="416"/>
      <c r="D64" s="421"/>
    </row>
    <row r="65" spans="1:4" x14ac:dyDescent="0.25">
      <c r="A65" s="336"/>
      <c r="B65" s="336"/>
      <c r="C65" s="416"/>
      <c r="D65" s="421"/>
    </row>
    <row r="66" spans="1:4" x14ac:dyDescent="0.25">
      <c r="A66" s="336"/>
      <c r="B66" s="336"/>
      <c r="C66" s="416"/>
      <c r="D66" s="421"/>
    </row>
    <row r="67" spans="1:4" x14ac:dyDescent="0.25">
      <c r="A67" s="336"/>
      <c r="B67" s="336"/>
      <c r="C67" s="416"/>
      <c r="D67" s="421"/>
    </row>
    <row r="68" spans="1:4" x14ac:dyDescent="0.25">
      <c r="A68" s="336"/>
      <c r="B68" s="336"/>
      <c r="C68" s="416"/>
      <c r="D68" s="421"/>
    </row>
    <row r="69" spans="1:4" x14ac:dyDescent="0.25">
      <c r="A69" s="336"/>
      <c r="B69" s="336"/>
      <c r="C69" s="416"/>
      <c r="D69" s="421"/>
    </row>
    <row r="70" spans="1:4" x14ac:dyDescent="0.25">
      <c r="A70" s="336"/>
      <c r="B70" s="336"/>
      <c r="C70" s="416"/>
      <c r="D70" s="421"/>
    </row>
    <row r="71" spans="1:4" x14ac:dyDescent="0.25">
      <c r="A71" s="336"/>
      <c r="B71" s="336"/>
      <c r="C71" s="416"/>
      <c r="D71" s="421"/>
    </row>
    <row r="72" spans="1:4" ht="15.75" thickBot="1" x14ac:dyDescent="0.3">
      <c r="A72" s="318"/>
      <c r="B72" s="318"/>
      <c r="C72" s="417"/>
      <c r="D72" s="422"/>
    </row>
    <row r="73" spans="1:4" x14ac:dyDescent="0.25">
      <c r="A73" s="338"/>
      <c r="B73" s="338"/>
      <c r="C73" s="416" t="s">
        <v>849</v>
      </c>
      <c r="D73" s="421" t="s">
        <v>850</v>
      </c>
    </row>
    <row r="74" spans="1:4" x14ac:dyDescent="0.25">
      <c r="A74" s="338"/>
      <c r="B74" s="338"/>
      <c r="C74" s="416"/>
      <c r="D74" s="421"/>
    </row>
    <row r="75" spans="1:4" x14ac:dyDescent="0.25">
      <c r="A75" s="338"/>
      <c r="B75" s="338"/>
      <c r="C75" s="416"/>
      <c r="D75" s="421"/>
    </row>
    <row r="76" spans="1:4" x14ac:dyDescent="0.25">
      <c r="A76" s="338"/>
      <c r="B76" s="338"/>
      <c r="C76" s="416"/>
      <c r="D76" s="421"/>
    </row>
    <row r="77" spans="1:4" x14ac:dyDescent="0.25">
      <c r="A77" s="338"/>
      <c r="B77" s="338"/>
      <c r="C77" s="416"/>
      <c r="D77" s="421"/>
    </row>
    <row r="78" spans="1:4" x14ac:dyDescent="0.25">
      <c r="A78" s="338"/>
      <c r="B78" s="338"/>
      <c r="C78" s="416"/>
      <c r="D78" s="421"/>
    </row>
    <row r="79" spans="1:4" x14ac:dyDescent="0.25">
      <c r="A79" s="338"/>
      <c r="B79" s="338"/>
      <c r="C79" s="416"/>
      <c r="D79" s="421"/>
    </row>
    <row r="80" spans="1:4" x14ac:dyDescent="0.25">
      <c r="A80" s="338"/>
      <c r="B80" s="338"/>
      <c r="C80" s="416"/>
      <c r="D80" s="421"/>
    </row>
    <row r="81" spans="1:4" x14ac:dyDescent="0.25">
      <c r="A81" s="338"/>
      <c r="B81" s="338"/>
      <c r="C81" s="416"/>
      <c r="D81" s="421"/>
    </row>
    <row r="82" spans="1:4" x14ac:dyDescent="0.25">
      <c r="A82" s="338"/>
      <c r="B82" s="338"/>
      <c r="C82" s="416"/>
      <c r="D82" s="421"/>
    </row>
    <row r="83" spans="1:4" x14ac:dyDescent="0.25">
      <c r="A83" s="338"/>
      <c r="B83" s="338"/>
      <c r="C83" s="416"/>
      <c r="D83" s="421"/>
    </row>
    <row r="84" spans="1:4" x14ac:dyDescent="0.25">
      <c r="A84" s="338"/>
      <c r="B84" s="338"/>
      <c r="C84" s="416"/>
      <c r="D84" s="421"/>
    </row>
    <row r="85" spans="1:4" x14ac:dyDescent="0.25">
      <c r="A85" s="338"/>
      <c r="B85" s="338"/>
      <c r="C85" s="416"/>
      <c r="D85" s="421"/>
    </row>
    <row r="86" spans="1:4" x14ac:dyDescent="0.25">
      <c r="A86" s="338"/>
      <c r="B86" s="338"/>
      <c r="C86" s="416"/>
      <c r="D86" s="421"/>
    </row>
    <row r="87" spans="1:4" x14ac:dyDescent="0.25">
      <c r="A87" s="338"/>
      <c r="B87" s="338"/>
      <c r="C87" s="416"/>
      <c r="D87" s="421"/>
    </row>
    <row r="88" spans="1:4" x14ac:dyDescent="0.25">
      <c r="A88" s="338"/>
      <c r="B88" s="338"/>
      <c r="C88" s="416"/>
      <c r="D88" s="421"/>
    </row>
    <row r="89" spans="1:4" ht="15.75" thickBot="1" x14ac:dyDescent="0.3">
      <c r="A89" s="319"/>
      <c r="B89" s="319"/>
      <c r="C89" s="417"/>
      <c r="D89" s="422"/>
    </row>
    <row r="90" spans="1:4" x14ac:dyDescent="0.25">
      <c r="A90" s="337"/>
      <c r="B90" s="337"/>
      <c r="C90" s="416" t="s">
        <v>851</v>
      </c>
      <c r="D90" s="421" t="s">
        <v>852</v>
      </c>
    </row>
    <row r="91" spans="1:4" x14ac:dyDescent="0.25">
      <c r="A91" s="337"/>
      <c r="B91" s="337"/>
      <c r="C91" s="416"/>
      <c r="D91" s="421"/>
    </row>
    <row r="92" spans="1:4" x14ac:dyDescent="0.25">
      <c r="A92" s="337"/>
      <c r="B92" s="337"/>
      <c r="C92" s="416"/>
      <c r="D92" s="421"/>
    </row>
    <row r="93" spans="1:4" x14ac:dyDescent="0.25">
      <c r="A93" s="337"/>
      <c r="B93" s="337"/>
      <c r="C93" s="416"/>
      <c r="D93" s="421"/>
    </row>
    <row r="94" spans="1:4" x14ac:dyDescent="0.25">
      <c r="A94" s="337"/>
      <c r="B94" s="337"/>
      <c r="C94" s="416"/>
      <c r="D94" s="421"/>
    </row>
    <row r="95" spans="1:4" x14ac:dyDescent="0.25">
      <c r="A95" s="337"/>
      <c r="B95" s="337"/>
      <c r="C95" s="416"/>
      <c r="D95" s="421"/>
    </row>
    <row r="96" spans="1:4" x14ac:dyDescent="0.25">
      <c r="A96" s="337"/>
      <c r="B96" s="337"/>
      <c r="C96" s="416"/>
      <c r="D96" s="421"/>
    </row>
    <row r="97" spans="1:4" x14ac:dyDescent="0.25">
      <c r="A97" s="337"/>
      <c r="B97" s="337"/>
      <c r="C97" s="416"/>
      <c r="D97" s="421"/>
    </row>
    <row r="98" spans="1:4" ht="15.75" thickBot="1" x14ac:dyDescent="0.3">
      <c r="A98" s="320"/>
      <c r="B98" s="320"/>
      <c r="C98" s="417"/>
      <c r="D98" s="422"/>
    </row>
    <row r="99" spans="1:4" ht="14.45" customHeight="1" x14ac:dyDescent="0.25">
      <c r="A99" s="339"/>
      <c r="B99" s="339"/>
      <c r="C99" s="419" t="s">
        <v>853</v>
      </c>
      <c r="D99" s="421" t="s">
        <v>854</v>
      </c>
    </row>
    <row r="100" spans="1:4" x14ac:dyDescent="0.25">
      <c r="A100" s="339"/>
      <c r="B100" s="339"/>
      <c r="C100" s="419"/>
      <c r="D100" s="421"/>
    </row>
    <row r="101" spans="1:4" x14ac:dyDescent="0.25">
      <c r="A101" s="339"/>
      <c r="B101" s="339"/>
      <c r="C101" s="419"/>
      <c r="D101" s="421"/>
    </row>
    <row r="102" spans="1:4" x14ac:dyDescent="0.25">
      <c r="A102" s="339"/>
      <c r="B102" s="339"/>
      <c r="C102" s="419"/>
      <c r="D102" s="421"/>
    </row>
    <row r="103" spans="1:4" x14ac:dyDescent="0.25">
      <c r="A103" s="339"/>
      <c r="B103" s="339"/>
      <c r="C103" s="419"/>
      <c r="D103" s="421"/>
    </row>
    <row r="104" spans="1:4" x14ac:dyDescent="0.25">
      <c r="A104" s="339"/>
      <c r="B104" s="339"/>
      <c r="C104" s="419"/>
      <c r="D104" s="421"/>
    </row>
    <row r="105" spans="1:4" x14ac:dyDescent="0.25">
      <c r="A105" s="339"/>
      <c r="B105" s="339"/>
      <c r="C105" s="419"/>
      <c r="D105" s="421"/>
    </row>
    <row r="106" spans="1:4" x14ac:dyDescent="0.25">
      <c r="A106" s="339"/>
      <c r="B106" s="339"/>
      <c r="C106" s="419"/>
      <c r="D106" s="421"/>
    </row>
    <row r="107" spans="1:4" x14ac:dyDescent="0.25">
      <c r="A107" s="339"/>
      <c r="B107" s="339"/>
      <c r="C107" s="419"/>
      <c r="D107" s="421"/>
    </row>
    <row r="108" spans="1:4" x14ac:dyDescent="0.25">
      <c r="A108" s="339"/>
      <c r="B108" s="339"/>
      <c r="C108" s="419"/>
      <c r="D108" s="421"/>
    </row>
    <row r="109" spans="1:4" x14ac:dyDescent="0.25">
      <c r="A109" s="339"/>
      <c r="B109" s="339"/>
      <c r="C109" s="419"/>
      <c r="D109" s="421"/>
    </row>
    <row r="110" spans="1:4" x14ac:dyDescent="0.25">
      <c r="A110" s="339"/>
      <c r="B110" s="339"/>
      <c r="C110" s="419"/>
      <c r="D110" s="421"/>
    </row>
    <row r="111" spans="1:4" ht="15.75" thickBot="1" x14ac:dyDescent="0.3">
      <c r="A111" s="321"/>
      <c r="B111" s="321"/>
      <c r="C111" s="420"/>
      <c r="D111" s="422"/>
    </row>
    <row r="112" spans="1:4" x14ac:dyDescent="0.25">
      <c r="A112" s="335"/>
      <c r="B112" s="335"/>
      <c r="C112" s="416" t="s">
        <v>855</v>
      </c>
      <c r="D112" s="421" t="s">
        <v>856</v>
      </c>
    </row>
    <row r="113" spans="1:4" x14ac:dyDescent="0.25">
      <c r="A113" s="335"/>
      <c r="B113" s="335"/>
      <c r="C113" s="416"/>
      <c r="D113" s="421"/>
    </row>
    <row r="114" spans="1:4" x14ac:dyDescent="0.25">
      <c r="A114" s="335"/>
      <c r="B114" s="335"/>
      <c r="C114" s="416"/>
      <c r="D114" s="421"/>
    </row>
    <row r="115" spans="1:4" x14ac:dyDescent="0.25">
      <c r="A115" s="335"/>
      <c r="B115" s="335"/>
      <c r="C115" s="416"/>
      <c r="D115" s="421"/>
    </row>
    <row r="116" spans="1:4" x14ac:dyDescent="0.25">
      <c r="A116" s="335"/>
      <c r="B116" s="335"/>
      <c r="C116" s="416"/>
      <c r="D116" s="421"/>
    </row>
    <row r="117" spans="1:4" x14ac:dyDescent="0.25">
      <c r="A117" s="335"/>
      <c r="B117" s="335"/>
      <c r="C117" s="416"/>
      <c r="D117" s="421"/>
    </row>
    <row r="118" spans="1:4" x14ac:dyDescent="0.25">
      <c r="A118" s="335"/>
      <c r="B118" s="335"/>
      <c r="C118" s="416"/>
      <c r="D118" s="421"/>
    </row>
    <row r="119" spans="1:4" x14ac:dyDescent="0.25">
      <c r="A119" s="335"/>
      <c r="B119" s="335"/>
      <c r="C119" s="416"/>
      <c r="D119" s="421"/>
    </row>
    <row r="120" spans="1:4" x14ac:dyDescent="0.25">
      <c r="A120" s="335"/>
      <c r="B120" s="335"/>
      <c r="C120" s="416"/>
      <c r="D120" s="421"/>
    </row>
    <row r="121" spans="1:4" x14ac:dyDescent="0.25">
      <c r="A121" s="335"/>
      <c r="B121" s="335"/>
      <c r="C121" s="416"/>
      <c r="D121" s="421"/>
    </row>
    <row r="122" spans="1:4" x14ac:dyDescent="0.25">
      <c r="A122" s="335"/>
      <c r="B122" s="335"/>
      <c r="C122" s="416"/>
      <c r="D122" s="421"/>
    </row>
    <row r="123" spans="1:4" ht="15.75" thickBot="1" x14ac:dyDescent="0.3">
      <c r="A123" s="316"/>
      <c r="B123" s="316"/>
      <c r="C123" s="417"/>
      <c r="D123" s="422"/>
    </row>
    <row r="124" spans="1:4" x14ac:dyDescent="0.25">
      <c r="A124" s="334"/>
      <c r="B124" s="334"/>
      <c r="C124" s="416" t="s">
        <v>857</v>
      </c>
      <c r="D124" s="421" t="s">
        <v>858</v>
      </c>
    </row>
    <row r="125" spans="1:4" x14ac:dyDescent="0.25">
      <c r="A125" s="334"/>
      <c r="B125" s="334"/>
      <c r="C125" s="416"/>
      <c r="D125" s="421"/>
    </row>
    <row r="126" spans="1:4" x14ac:dyDescent="0.25">
      <c r="A126" s="334"/>
      <c r="B126" s="334"/>
      <c r="C126" s="416"/>
      <c r="D126" s="421"/>
    </row>
    <row r="127" spans="1:4" x14ac:dyDescent="0.25">
      <c r="A127" s="334"/>
      <c r="B127" s="334"/>
      <c r="C127" s="416"/>
      <c r="D127" s="421"/>
    </row>
    <row r="128" spans="1:4" x14ac:dyDescent="0.25">
      <c r="A128" s="334"/>
      <c r="B128" s="334"/>
      <c r="C128" s="416"/>
      <c r="D128" s="421"/>
    </row>
    <row r="129" spans="1:4" ht="15.75" thickBot="1" x14ac:dyDescent="0.3">
      <c r="A129" s="317"/>
      <c r="B129" s="317"/>
      <c r="C129" s="417"/>
      <c r="D129" s="422"/>
    </row>
    <row r="130" spans="1:4" ht="14.45" customHeight="1" x14ac:dyDescent="0.25">
      <c r="A130" s="33"/>
      <c r="B130" s="33"/>
      <c r="C130" s="416" t="s">
        <v>859</v>
      </c>
      <c r="D130" s="421" t="s">
        <v>860</v>
      </c>
    </row>
    <row r="131" spans="1:4" x14ac:dyDescent="0.25">
      <c r="A131" s="33"/>
      <c r="B131" s="33"/>
      <c r="C131" s="416"/>
      <c r="D131" s="421"/>
    </row>
    <row r="132" spans="1:4" x14ac:dyDescent="0.25">
      <c r="A132" s="33"/>
      <c r="B132" s="33"/>
      <c r="C132" s="416"/>
      <c r="D132" s="421"/>
    </row>
    <row r="133" spans="1:4" ht="15.75" thickBot="1" x14ac:dyDescent="0.3">
      <c r="A133" s="322"/>
      <c r="B133" s="322"/>
      <c r="C133" s="417"/>
      <c r="D133" s="422"/>
    </row>
    <row r="134" spans="1:4" x14ac:dyDescent="0.25">
      <c r="A134" s="338"/>
      <c r="B134" s="338"/>
      <c r="C134" s="416" t="s">
        <v>861</v>
      </c>
      <c r="D134" s="421" t="s">
        <v>862</v>
      </c>
    </row>
    <row r="135" spans="1:4" x14ac:dyDescent="0.25">
      <c r="A135" s="338"/>
      <c r="B135" s="338"/>
      <c r="C135" s="416"/>
      <c r="D135" s="421"/>
    </row>
    <row r="136" spans="1:4" x14ac:dyDescent="0.25">
      <c r="A136" s="338"/>
      <c r="B136" s="338"/>
      <c r="C136" s="416"/>
      <c r="D136" s="421"/>
    </row>
    <row r="137" spans="1:4" x14ac:dyDescent="0.25">
      <c r="A137" s="338"/>
      <c r="B137" s="338"/>
      <c r="C137" s="416"/>
      <c r="D137" s="421"/>
    </row>
    <row r="138" spans="1:4" x14ac:dyDescent="0.25">
      <c r="A138" s="338"/>
      <c r="B138" s="338"/>
      <c r="C138" s="416"/>
      <c r="D138" s="421"/>
    </row>
    <row r="139" spans="1:4" x14ac:dyDescent="0.25">
      <c r="A139" s="338"/>
      <c r="B139" s="338"/>
      <c r="C139" s="416"/>
      <c r="D139" s="421"/>
    </row>
    <row r="140" spans="1:4" x14ac:dyDescent="0.25">
      <c r="A140" s="338"/>
      <c r="B140" s="338"/>
      <c r="C140" s="416"/>
      <c r="D140" s="421"/>
    </row>
    <row r="141" spans="1:4" x14ac:dyDescent="0.25">
      <c r="A141" s="338"/>
      <c r="B141" s="338"/>
      <c r="C141" s="416"/>
      <c r="D141" s="421"/>
    </row>
    <row r="142" spans="1:4" x14ac:dyDescent="0.25">
      <c r="A142" s="338"/>
      <c r="B142" s="338"/>
      <c r="C142" s="416"/>
      <c r="D142" s="421"/>
    </row>
    <row r="143" spans="1:4" x14ac:dyDescent="0.25">
      <c r="A143" s="338"/>
      <c r="B143" s="338"/>
      <c r="C143" s="416"/>
      <c r="D143" s="421"/>
    </row>
    <row r="144" spans="1:4" x14ac:dyDescent="0.25">
      <c r="A144" s="338"/>
      <c r="B144" s="338"/>
      <c r="C144" s="416"/>
      <c r="D144" s="421"/>
    </row>
    <row r="145" spans="1:4" x14ac:dyDescent="0.25">
      <c r="A145" s="338"/>
      <c r="B145" s="338"/>
      <c r="C145" s="416"/>
      <c r="D145" s="421"/>
    </row>
    <row r="146" spans="1:4" x14ac:dyDescent="0.25">
      <c r="A146" s="338"/>
      <c r="B146" s="338"/>
      <c r="C146" s="416"/>
      <c r="D146" s="421"/>
    </row>
    <row r="147" spans="1:4" x14ac:dyDescent="0.25">
      <c r="A147" s="338"/>
      <c r="B147" s="338"/>
      <c r="C147" s="416"/>
      <c r="D147" s="421"/>
    </row>
    <row r="148" spans="1:4" x14ac:dyDescent="0.25">
      <c r="A148" s="338"/>
      <c r="B148" s="338"/>
      <c r="C148" s="416"/>
      <c r="D148" s="421"/>
    </row>
    <row r="149" spans="1:4" x14ac:dyDescent="0.25">
      <c r="A149" s="338"/>
      <c r="B149" s="338"/>
      <c r="C149" s="416"/>
      <c r="D149" s="421"/>
    </row>
    <row r="150" spans="1:4" ht="15" customHeight="1" x14ac:dyDescent="0.25">
      <c r="A150" s="338"/>
      <c r="B150" s="338"/>
      <c r="C150" s="416"/>
      <c r="D150" s="421"/>
    </row>
    <row r="151" spans="1:4" ht="15" customHeight="1" thickBot="1" x14ac:dyDescent="0.3">
      <c r="A151" s="319"/>
      <c r="B151" s="319"/>
      <c r="C151" s="417"/>
      <c r="D151" s="422"/>
    </row>
    <row r="152" spans="1:4" ht="15" customHeight="1" x14ac:dyDescent="0.25">
      <c r="A152" s="340"/>
      <c r="B152" s="340"/>
      <c r="C152" s="416" t="s">
        <v>863</v>
      </c>
      <c r="D152" s="421" t="s">
        <v>864</v>
      </c>
    </row>
    <row r="153" spans="1:4" ht="15" customHeight="1" x14ac:dyDescent="0.25">
      <c r="A153" s="340"/>
      <c r="B153" s="340"/>
      <c r="C153" s="416"/>
      <c r="D153" s="421"/>
    </row>
    <row r="154" spans="1:4" ht="15" customHeight="1" x14ac:dyDescent="0.25">
      <c r="A154" s="340"/>
      <c r="B154" s="340"/>
      <c r="C154" s="416"/>
      <c r="D154" s="421"/>
    </row>
    <row r="155" spans="1:4" ht="15" customHeight="1" thickBot="1" x14ac:dyDescent="0.3">
      <c r="A155" s="323"/>
      <c r="B155" s="323"/>
      <c r="C155" s="417"/>
      <c r="D155" s="422"/>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56"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29" t="s">
        <v>89</v>
      </c>
      <c r="B1" s="314" t="s">
        <v>92</v>
      </c>
      <c r="C1" s="342" t="s">
        <v>478</v>
      </c>
      <c r="D1" s="343" t="s">
        <v>0</v>
      </c>
    </row>
    <row r="2" spans="1:4" ht="15.75" thickBot="1" x14ac:dyDescent="0.3">
      <c r="A2" s="128">
        <v>4001</v>
      </c>
      <c r="B2" s="205" t="str">
        <f>'Custom cases'!D3</f>
        <v>Custom_RfG_MaxFacilityCurrent</v>
      </c>
      <c r="C2" s="142" t="s">
        <v>506</v>
      </c>
      <c r="D2" s="190" t="s">
        <v>534</v>
      </c>
    </row>
    <row r="3" spans="1:4" x14ac:dyDescent="0.25">
      <c r="A3" s="217">
        <v>4002</v>
      </c>
      <c r="B3" s="218" t="str">
        <f>'Custom cases'!D4</f>
        <v>Custom_RfG_Fault_3_FRTtrig_0.87pu</v>
      </c>
      <c r="C3" s="415" t="s">
        <v>508</v>
      </c>
      <c r="D3" s="203" t="s">
        <v>10</v>
      </c>
    </row>
    <row r="4" spans="1:4" x14ac:dyDescent="0.25">
      <c r="A4" s="217">
        <v>4003</v>
      </c>
      <c r="B4" s="218" t="str">
        <f>'Custom cases'!D5</f>
        <v>Custom_RfG_Fault_3_FRTtrig_0.86pu</v>
      </c>
      <c r="C4" s="416"/>
      <c r="D4" s="203" t="s">
        <v>10</v>
      </c>
    </row>
    <row r="5" spans="1:4" ht="45" x14ac:dyDescent="0.25">
      <c r="A5" s="217">
        <v>4004</v>
      </c>
      <c r="B5" s="218" t="str">
        <f>'Custom cases'!D6</f>
        <v>Custom_RfG_Fault_3_FRTtrig_0.85pu</v>
      </c>
      <c r="C5" s="416"/>
      <c r="D5" s="139" t="s">
        <v>510</v>
      </c>
    </row>
    <row r="6" spans="1:4" x14ac:dyDescent="0.25">
      <c r="A6" s="217">
        <v>4005</v>
      </c>
      <c r="B6" s="218" t="str">
        <f>'Custom cases'!D7</f>
        <v>Custom_RfG_Fault_3_FRTtrig_0.84pu</v>
      </c>
      <c r="C6" s="416"/>
      <c r="D6" s="203" t="s">
        <v>10</v>
      </c>
    </row>
    <row r="7" spans="1:4" x14ac:dyDescent="0.25">
      <c r="A7" s="217">
        <v>4006</v>
      </c>
      <c r="B7" s="218" t="str">
        <f>'Custom cases'!D8</f>
        <v>Custom_RfG_Fault_3_FRTtrig_0.83pu</v>
      </c>
      <c r="C7" s="416"/>
      <c r="D7" s="203" t="s">
        <v>10</v>
      </c>
    </row>
    <row r="8" spans="1:4" x14ac:dyDescent="0.25">
      <c r="A8" s="217">
        <v>4007</v>
      </c>
      <c r="B8" s="218" t="str">
        <f>'Custom cases'!D9</f>
        <v>Custom_RfG_Fault_3_FRTtrig_0.82pu</v>
      </c>
      <c r="C8" s="416"/>
      <c r="D8" s="203" t="s">
        <v>10</v>
      </c>
    </row>
    <row r="9" spans="1:4" x14ac:dyDescent="0.25">
      <c r="A9" s="217">
        <v>4008</v>
      </c>
      <c r="B9" s="218" t="str">
        <f>'Custom cases'!D10</f>
        <v>Custom_RfG_Fault_3_FRTtrig_0.81pu</v>
      </c>
      <c r="C9" s="416"/>
      <c r="D9" s="203" t="s">
        <v>10</v>
      </c>
    </row>
    <row r="10" spans="1:4" x14ac:dyDescent="0.25">
      <c r="A10" s="217">
        <v>4009</v>
      </c>
      <c r="B10" s="218" t="str">
        <f>'Custom cases'!D11</f>
        <v>Custom_RfG_Fault_3_FRTtrig_0.80pu</v>
      </c>
      <c r="C10" s="416"/>
      <c r="D10" s="203" t="s">
        <v>10</v>
      </c>
    </row>
    <row r="11" spans="1:4" x14ac:dyDescent="0.25">
      <c r="A11" s="217">
        <v>4010</v>
      </c>
      <c r="B11" s="218" t="str">
        <f>'Custom cases'!D12</f>
        <v>Custom_RfG_Fault_3_FRTtrig_0.79pu</v>
      </c>
      <c r="C11" s="416"/>
      <c r="D11" s="203" t="s">
        <v>10</v>
      </c>
    </row>
    <row r="12" spans="1:4" ht="15.75" thickBot="1" x14ac:dyDescent="0.3">
      <c r="A12" s="219">
        <v>4011</v>
      </c>
      <c r="B12" s="220" t="str">
        <f>'Custom cases'!D13</f>
        <v>Custom_RfG_Fault_3_FRTtrig_0.78pu</v>
      </c>
      <c r="C12" s="417"/>
      <c r="D12" s="204" t="s">
        <v>10</v>
      </c>
    </row>
    <row r="13" spans="1:4" x14ac:dyDescent="0.25">
      <c r="A13" s="193">
        <v>4012</v>
      </c>
      <c r="B13" s="209" t="str">
        <f>'Custom cases'!D14</f>
        <v>Custom_RfG_LVRT_FRTexit_0.84pu</v>
      </c>
      <c r="C13" s="415" t="s">
        <v>507</v>
      </c>
      <c r="D13" s="203" t="s">
        <v>10</v>
      </c>
    </row>
    <row r="14" spans="1:4" ht="30" x14ac:dyDescent="0.25">
      <c r="A14" s="193">
        <v>4013</v>
      </c>
      <c r="B14" s="209" t="str">
        <f>'Custom cases'!D15</f>
        <v>Custom_RfG_LVRT_FRTexit_0.85pu</v>
      </c>
      <c r="C14" s="416"/>
      <c r="D14" s="139" t="s">
        <v>509</v>
      </c>
    </row>
    <row r="15" spans="1:4" x14ac:dyDescent="0.25">
      <c r="A15" s="193">
        <v>4014</v>
      </c>
      <c r="B15" s="209" t="str">
        <f>'Custom cases'!D16</f>
        <v>Custom_RfG_LVRT_FRTexit_0.86pu</v>
      </c>
      <c r="C15" s="416"/>
      <c r="D15" s="203" t="s">
        <v>10</v>
      </c>
    </row>
    <row r="16" spans="1:4" x14ac:dyDescent="0.25">
      <c r="A16" s="193">
        <v>4015</v>
      </c>
      <c r="B16" s="209" t="str">
        <f>'Custom cases'!D17</f>
        <v>Custom_RfG_LVRT_FRTexit_0.87pu</v>
      </c>
      <c r="C16" s="416"/>
      <c r="D16" s="203" t="s">
        <v>10</v>
      </c>
    </row>
    <row r="17" spans="1:4" x14ac:dyDescent="0.25">
      <c r="A17" s="193">
        <v>4016</v>
      </c>
      <c r="B17" s="209" t="str">
        <f>'Custom cases'!D18</f>
        <v>Custom_RfG_LVRT_FRTexit_0.88pu</v>
      </c>
      <c r="C17" s="416"/>
      <c r="D17" s="203" t="s">
        <v>10</v>
      </c>
    </row>
    <row r="18" spans="1:4" ht="15.75" thickBot="1" x14ac:dyDescent="0.3">
      <c r="A18" s="202">
        <v>4017</v>
      </c>
      <c r="B18" s="210" t="str">
        <f>'Custom cases'!D19</f>
        <v>Custom_RfG_LVRT_FRTexit_0.89pu</v>
      </c>
      <c r="C18" s="417"/>
      <c r="D18" s="204" t="s">
        <v>10</v>
      </c>
    </row>
    <row r="19" spans="1:4" x14ac:dyDescent="0.25">
      <c r="A19" s="211">
        <v>4018</v>
      </c>
      <c r="B19" s="212" t="str">
        <f>'Custom cases'!D20</f>
        <v>Custom_RfG_Fault_3_MaxIQ_0.24pu</v>
      </c>
      <c r="C19" s="415" t="s">
        <v>536</v>
      </c>
      <c r="D19" s="203" t="s">
        <v>10</v>
      </c>
    </row>
    <row r="20" spans="1:4" x14ac:dyDescent="0.25">
      <c r="A20" s="211">
        <v>4019</v>
      </c>
      <c r="B20" s="212" t="str">
        <f>'Custom cases'!D21</f>
        <v>Custom_RfG_Fault_3_MaxIQ_0.23pu</v>
      </c>
      <c r="C20" s="416"/>
      <c r="D20" s="203" t="s">
        <v>10</v>
      </c>
    </row>
    <row r="21" spans="1:4" x14ac:dyDescent="0.25">
      <c r="A21" s="211">
        <v>4020</v>
      </c>
      <c r="B21" s="212" t="str">
        <f>'Custom cases'!D22</f>
        <v>Custom_RfG_Fault_3_MaxIQ_0.22pu</v>
      </c>
      <c r="C21" s="416"/>
      <c r="D21" s="203" t="s">
        <v>10</v>
      </c>
    </row>
    <row r="22" spans="1:4" x14ac:dyDescent="0.25">
      <c r="A22" s="211">
        <v>4021</v>
      </c>
      <c r="B22" s="212" t="str">
        <f>'Custom cases'!D23</f>
        <v>Custom_RfG_Fault_3_MaxIQ_0.21pu</v>
      </c>
      <c r="C22" s="416"/>
      <c r="D22" s="203" t="s">
        <v>10</v>
      </c>
    </row>
    <row r="23" spans="1:4" ht="75" x14ac:dyDescent="0.25">
      <c r="A23" s="211">
        <v>4022</v>
      </c>
      <c r="B23" s="212" t="str">
        <f>'Custom cases'!D24</f>
        <v>Custom_RfG_Fault_3_MaxIQ_0.20pu</v>
      </c>
      <c r="C23" s="416"/>
      <c r="D23" s="139" t="s">
        <v>537</v>
      </c>
    </row>
    <row r="24" spans="1:4" x14ac:dyDescent="0.25">
      <c r="A24" s="211">
        <v>4023</v>
      </c>
      <c r="B24" s="212" t="str">
        <f>'Custom cases'!D25</f>
        <v>Custom_RfG_Fault_3_MaxIQ_0.19pu</v>
      </c>
      <c r="C24" s="416"/>
      <c r="D24" s="203" t="s">
        <v>10</v>
      </c>
    </row>
    <row r="25" spans="1:4" x14ac:dyDescent="0.25">
      <c r="A25" s="211">
        <v>4024</v>
      </c>
      <c r="B25" s="212" t="str">
        <f>'Custom cases'!D26</f>
        <v>Custom_RfG_Fault_3_MaxIQ_0.18pu</v>
      </c>
      <c r="C25" s="416"/>
      <c r="D25" s="203" t="s">
        <v>10</v>
      </c>
    </row>
    <row r="26" spans="1:4" x14ac:dyDescent="0.25">
      <c r="A26" s="211">
        <v>4025</v>
      </c>
      <c r="B26" s="212" t="str">
        <f>'Custom cases'!D27</f>
        <v>Custom_RfG_Fault_3_MaxIQ_0.17pu</v>
      </c>
      <c r="C26" s="416"/>
      <c r="D26" s="203" t="s">
        <v>10</v>
      </c>
    </row>
    <row r="27" spans="1:4" x14ac:dyDescent="0.25">
      <c r="A27" s="211">
        <v>4026</v>
      </c>
      <c r="B27" s="212" t="str">
        <f>'Custom cases'!D28</f>
        <v>Custom_RfG_Fault_3_MaxIQ_0.16pu</v>
      </c>
      <c r="C27" s="416"/>
      <c r="D27" s="203" t="s">
        <v>10</v>
      </c>
    </row>
    <row r="28" spans="1:4" ht="15.75" thickBot="1" x14ac:dyDescent="0.3">
      <c r="A28" s="213">
        <v>4027</v>
      </c>
      <c r="B28" s="214" t="str">
        <f>'Custom cases'!D29</f>
        <v>Custom_RfG_Fault_3_MaxIQ_0.15pu</v>
      </c>
      <c r="C28" s="417"/>
      <c r="D28" s="204" t="s">
        <v>10</v>
      </c>
    </row>
    <row r="29" spans="1:4" ht="30" x14ac:dyDescent="0.25">
      <c r="A29" s="193">
        <v>4028</v>
      </c>
      <c r="B29" s="209" t="str">
        <f>'Custom cases'!D30</f>
        <v>Custom_RfG_Fault_3_0.2pu_Plim_0.5pu</v>
      </c>
      <c r="C29" s="415" t="s">
        <v>511</v>
      </c>
      <c r="D29" s="139" t="s">
        <v>535</v>
      </c>
    </row>
    <row r="30" spans="1:4" x14ac:dyDescent="0.25">
      <c r="A30" s="193">
        <v>4029</v>
      </c>
      <c r="B30" s="209" t="str">
        <f>'Custom cases'!D31</f>
        <v>Custom_RfG_Fault_2_0.2pu_Plim_0.5pu</v>
      </c>
      <c r="C30" s="416"/>
      <c r="D30" s="203" t="s">
        <v>10</v>
      </c>
    </row>
    <row r="31" spans="1:4" x14ac:dyDescent="0.25">
      <c r="A31" s="193">
        <v>4030</v>
      </c>
      <c r="B31" s="209" t="str">
        <f>'Custom cases'!D32</f>
        <v>Custom_RfG_Fault_1_0.2pu_Plim_0.5pu</v>
      </c>
      <c r="C31" s="416"/>
      <c r="D31" s="203" t="s">
        <v>10</v>
      </c>
    </row>
    <row r="32" spans="1:4" ht="30" x14ac:dyDescent="0.25">
      <c r="A32" s="193">
        <v>4031</v>
      </c>
      <c r="B32" s="209" t="str">
        <f>'Custom cases'!D33</f>
        <v>Custom_RfG_Fault_3_0.2pu_Plim_0.15pu</v>
      </c>
      <c r="C32" s="416"/>
      <c r="D32" s="139" t="s">
        <v>512</v>
      </c>
    </row>
    <row r="33" spans="1:4" x14ac:dyDescent="0.25">
      <c r="A33" s="193">
        <v>4032</v>
      </c>
      <c r="B33" s="209" t="str">
        <f>'Custom cases'!D34</f>
        <v>Custom_RfG_Fault_2_0.2pu_Plim_0.15pu</v>
      </c>
      <c r="C33" s="416"/>
      <c r="D33" s="203" t="s">
        <v>10</v>
      </c>
    </row>
    <row r="34" spans="1:4" ht="15.75" thickBot="1" x14ac:dyDescent="0.3">
      <c r="A34" s="202">
        <v>4033</v>
      </c>
      <c r="B34" s="210" t="str">
        <f>'Custom cases'!D35</f>
        <v>Custom_RfG_Fault_1_0.2pu_Plim_0.15pu</v>
      </c>
      <c r="C34" s="417"/>
      <c r="D34" s="204" t="s">
        <v>10</v>
      </c>
    </row>
    <row r="35" spans="1:4" x14ac:dyDescent="0.25">
      <c r="A35" s="138">
        <v>4034</v>
      </c>
      <c r="B35" s="215" t="str">
        <f>'Custom cases'!D36</f>
        <v>Custom_RfG_Ucontrol_Plim_1.00pu</v>
      </c>
      <c r="C35" s="415" t="s">
        <v>516</v>
      </c>
      <c r="D35" s="139" t="s">
        <v>514</v>
      </c>
    </row>
    <row r="36" spans="1:4" x14ac:dyDescent="0.25">
      <c r="A36" s="138">
        <v>4035</v>
      </c>
      <c r="B36" s="215" t="str">
        <f>'Custom cases'!D37</f>
        <v>Custom_RfG_Ucontrol_Plim_0.50pu</v>
      </c>
      <c r="C36" s="416"/>
      <c r="D36" s="139" t="s">
        <v>513</v>
      </c>
    </row>
    <row r="37" spans="1:4" ht="15.75" thickBot="1" x14ac:dyDescent="0.3">
      <c r="A37" s="178">
        <v>4036</v>
      </c>
      <c r="B37" s="216" t="str">
        <f>'Custom cases'!D38</f>
        <v>Custom_RfG_Ucontrol_Plim_0.15pu</v>
      </c>
      <c r="C37" s="417"/>
      <c r="D37" s="143" t="s">
        <v>515</v>
      </c>
    </row>
    <row r="38" spans="1:4" ht="15" customHeight="1" x14ac:dyDescent="0.25">
      <c r="A38" s="230">
        <v>4037</v>
      </c>
      <c r="B38" s="231" t="str">
        <f>'Custom cases'!D39</f>
        <v>Custom_Fault_3_0.20pu_U0_1.118pu</v>
      </c>
      <c r="C38" s="415" t="s">
        <v>526</v>
      </c>
      <c r="D38" s="146" t="s">
        <v>517</v>
      </c>
    </row>
    <row r="39" spans="1:4" x14ac:dyDescent="0.25">
      <c r="A39" s="232">
        <v>4038</v>
      </c>
      <c r="B39" s="233" t="str">
        <f>'Custom cases'!D40</f>
        <v>Custom_Fault_2_0.20pu_U0_1.118pu</v>
      </c>
      <c r="C39" s="416"/>
      <c r="D39" s="203" t="s">
        <v>10</v>
      </c>
    </row>
    <row r="40" spans="1:4" x14ac:dyDescent="0.25">
      <c r="A40" s="232">
        <v>4039</v>
      </c>
      <c r="B40" s="233" t="str">
        <f>'Custom cases'!D41</f>
        <v>Custom_Fault_1_0.20pu_U0_1.118pu</v>
      </c>
      <c r="C40" s="416"/>
      <c r="D40" s="203" t="s">
        <v>10</v>
      </c>
    </row>
    <row r="41" spans="1:4" ht="30" x14ac:dyDescent="0.25">
      <c r="A41" s="232">
        <v>4040</v>
      </c>
      <c r="B41" s="233" t="str">
        <f>'Custom cases'!D42</f>
        <v>Custom_Fault_3_0.20pu_U0_0.968pu</v>
      </c>
      <c r="C41" s="416"/>
      <c r="D41" s="139" t="s">
        <v>518</v>
      </c>
    </row>
    <row r="42" spans="1:4" x14ac:dyDescent="0.25">
      <c r="A42" s="232">
        <v>4041</v>
      </c>
      <c r="B42" s="233" t="str">
        <f>'Custom cases'!D43</f>
        <v>Custom_Fault_2_0.20pu_U0_0.968pu</v>
      </c>
      <c r="C42" s="416"/>
      <c r="D42" s="203" t="s">
        <v>10</v>
      </c>
    </row>
    <row r="43" spans="1:4" ht="15.75" thickBot="1" x14ac:dyDescent="0.3">
      <c r="A43" s="234">
        <v>4042</v>
      </c>
      <c r="B43" s="235" t="str">
        <f>'Custom cases'!D44</f>
        <v>Custom_Fault_1_0.20pu_U0_0.968pu</v>
      </c>
      <c r="C43" s="417"/>
      <c r="D43" s="204" t="s">
        <v>10</v>
      </c>
    </row>
    <row r="44" spans="1:4" ht="30" x14ac:dyDescent="0.25">
      <c r="A44" s="132">
        <v>4043</v>
      </c>
      <c r="B44" s="229" t="str">
        <f>'Custom cases'!D45</f>
        <v>Custom_Fault_3_U0_1.118_Uend_1.065</v>
      </c>
      <c r="C44" s="415" t="s">
        <v>527</v>
      </c>
      <c r="D44" s="146" t="s">
        <v>520</v>
      </c>
    </row>
    <row r="45" spans="1:4" x14ac:dyDescent="0.25">
      <c r="A45" s="133">
        <v>4044</v>
      </c>
      <c r="B45" s="206" t="str">
        <f>'Custom cases'!D46</f>
        <v>Custom_Fault_2_U0_1.118_Uend_1.065</v>
      </c>
      <c r="C45" s="416"/>
      <c r="D45" s="203" t="s">
        <v>10</v>
      </c>
    </row>
    <row r="46" spans="1:4" x14ac:dyDescent="0.25">
      <c r="A46" s="133">
        <v>4045</v>
      </c>
      <c r="B46" s="206" t="str">
        <f>'Custom cases'!D47</f>
        <v>Custom_Fault_1_U0_1.118_Uend_1.065</v>
      </c>
      <c r="C46" s="416"/>
      <c r="D46" s="203" t="s">
        <v>10</v>
      </c>
    </row>
    <row r="47" spans="1:4" x14ac:dyDescent="0.25">
      <c r="A47" s="133">
        <v>4046</v>
      </c>
      <c r="B47" s="206" t="str">
        <f>'Custom cases'!D48</f>
        <v>Custom_Fault_3_U0_1.118_Uend_0.968</v>
      </c>
      <c r="C47" s="416"/>
      <c r="D47" s="203" t="s">
        <v>10</v>
      </c>
    </row>
    <row r="48" spans="1:4" ht="30" x14ac:dyDescent="0.25">
      <c r="A48" s="133">
        <v>4047</v>
      </c>
      <c r="B48" s="206" t="str">
        <f>'Custom cases'!D49</f>
        <v>Custom_Fault_3_U0_0.959_Uend_1.065</v>
      </c>
      <c r="C48" s="416"/>
      <c r="D48" s="139" t="s">
        <v>519</v>
      </c>
    </row>
    <row r="49" spans="1:4" x14ac:dyDescent="0.25">
      <c r="A49" s="133">
        <v>4048</v>
      </c>
      <c r="B49" s="206" t="str">
        <f>'Custom cases'!D50</f>
        <v>Custom_Fault_2_U0_0.959_Uend_1.065</v>
      </c>
      <c r="C49" s="416"/>
      <c r="D49" s="203" t="s">
        <v>10</v>
      </c>
    </row>
    <row r="50" spans="1:4" x14ac:dyDescent="0.25">
      <c r="A50" s="133">
        <v>4049</v>
      </c>
      <c r="B50" s="206" t="str">
        <f>'Custom cases'!D51</f>
        <v>Custom_Fault_1_U0_0.959_Uend_1.065</v>
      </c>
      <c r="C50" s="416"/>
      <c r="D50" s="203" t="s">
        <v>10</v>
      </c>
    </row>
    <row r="51" spans="1:4" x14ac:dyDescent="0.25">
      <c r="A51" s="133">
        <v>4050</v>
      </c>
      <c r="B51" s="206" t="str">
        <f>'Custom cases'!D52</f>
        <v>Custom_Fault_3_U0_0.959_Uend_1.118</v>
      </c>
      <c r="C51" s="416"/>
      <c r="D51" s="203" t="s">
        <v>10</v>
      </c>
    </row>
    <row r="52" spans="1:4" ht="30" x14ac:dyDescent="0.25">
      <c r="A52" s="133">
        <v>4051</v>
      </c>
      <c r="B52" s="206" t="str">
        <f>'Custom cases'!D53</f>
        <v>Custom_Fault_3_U0_1.118_Uend_0.900</v>
      </c>
      <c r="C52" s="416"/>
      <c r="D52" s="139" t="s">
        <v>521</v>
      </c>
    </row>
    <row r="53" spans="1:4" x14ac:dyDescent="0.25">
      <c r="A53" s="133">
        <v>4052</v>
      </c>
      <c r="B53" s="206" t="str">
        <f>'Custom cases'!D54</f>
        <v>Custom_Fault_3_U0_1.065_Uend_0.900</v>
      </c>
      <c r="C53" s="416"/>
      <c r="D53" s="203" t="s">
        <v>10</v>
      </c>
    </row>
    <row r="54" spans="1:4" ht="15.75" thickBot="1" x14ac:dyDescent="0.3">
      <c r="A54" s="207">
        <v>4053</v>
      </c>
      <c r="B54" s="208" t="str">
        <f>'Custom cases'!D55</f>
        <v>Custom_Fault_3_U0_0.959_Uend_0.900</v>
      </c>
      <c r="C54" s="417"/>
      <c r="D54" s="204" t="s">
        <v>10</v>
      </c>
    </row>
    <row r="55" spans="1:4" ht="15.6" customHeight="1" x14ac:dyDescent="0.25">
      <c r="A55" s="223">
        <v>4054</v>
      </c>
      <c r="B55" s="224" t="str">
        <f>'Custom cases'!D56</f>
        <v>Custom_Fault_3_U0_1.065pu_OVRT_1.15</v>
      </c>
      <c r="C55" s="415" t="s">
        <v>528</v>
      </c>
      <c r="D55" s="146" t="s">
        <v>523</v>
      </c>
    </row>
    <row r="56" spans="1:4" ht="15.6" customHeight="1" x14ac:dyDescent="0.25">
      <c r="A56" s="225">
        <v>4055</v>
      </c>
      <c r="B56" s="226" t="str">
        <f>'Custom cases'!D57</f>
        <v>Custom_Fault_3_U0_1.065pu_OVRT_1.20</v>
      </c>
      <c r="C56" s="416"/>
      <c r="D56" s="139" t="s">
        <v>523</v>
      </c>
    </row>
    <row r="57" spans="1:4" ht="30" x14ac:dyDescent="0.25">
      <c r="A57" s="225">
        <v>4056</v>
      </c>
      <c r="B57" s="226" t="str">
        <f>'Custom cases'!D58</f>
        <v>Custom_Fault_3_U0_1.065pu_OVRT_1.30</v>
      </c>
      <c r="C57" s="416"/>
      <c r="D57" s="139" t="s">
        <v>522</v>
      </c>
    </row>
    <row r="58" spans="1:4" x14ac:dyDescent="0.25">
      <c r="A58" s="225">
        <v>4057</v>
      </c>
      <c r="B58" s="226" t="str">
        <f>'Custom cases'!D59</f>
        <v>Custom_Fault_3_U0_1.065pu_OVRT_1.15</v>
      </c>
      <c r="C58" s="416"/>
      <c r="D58" s="139" t="s">
        <v>524</v>
      </c>
    </row>
    <row r="59" spans="1:4" x14ac:dyDescent="0.25">
      <c r="A59" s="225">
        <v>4058</v>
      </c>
      <c r="B59" s="226" t="str">
        <f>'Custom cases'!D60</f>
        <v>Custom_Fault_3_U0_1.065pu_OVRT_1.20</v>
      </c>
      <c r="C59" s="416"/>
      <c r="D59" s="139" t="s">
        <v>524</v>
      </c>
    </row>
    <row r="60" spans="1:4" ht="30.75" thickBot="1" x14ac:dyDescent="0.3">
      <c r="A60" s="227">
        <v>4059</v>
      </c>
      <c r="B60" s="228" t="str">
        <f>'Custom cases'!D61</f>
        <v>Custom_Fault_3_U0_1.065pu_OVRT_1.30</v>
      </c>
      <c r="C60" s="417"/>
      <c r="D60" s="143" t="s">
        <v>525</v>
      </c>
    </row>
    <row r="61" spans="1:4" x14ac:dyDescent="0.25">
      <c r="A61" s="221">
        <v>4060</v>
      </c>
      <c r="B61" s="222" t="str">
        <f>'Custom cases'!D62</f>
        <v>Custom_Fault_3_0.20pu_SCR_2</v>
      </c>
      <c r="C61" s="415" t="s">
        <v>529</v>
      </c>
      <c r="D61" s="146" t="s">
        <v>530</v>
      </c>
    </row>
    <row r="62" spans="1:4" x14ac:dyDescent="0.25">
      <c r="A62" s="217">
        <v>4061</v>
      </c>
      <c r="B62" s="218" t="str">
        <f>'Custom cases'!D63</f>
        <v>Custom_Fault_3_0.20pu_SCR_3</v>
      </c>
      <c r="C62" s="416"/>
      <c r="D62" s="203" t="s">
        <v>10</v>
      </c>
    </row>
    <row r="63" spans="1:4" x14ac:dyDescent="0.25">
      <c r="A63" s="217">
        <v>4062</v>
      </c>
      <c r="B63" s="218" t="str">
        <f>'Custom cases'!D64</f>
        <v>Custom_Fault_3_0.20pu_SCR_4</v>
      </c>
      <c r="C63" s="416"/>
      <c r="D63" s="203" t="s">
        <v>10</v>
      </c>
    </row>
    <row r="64" spans="1:4" x14ac:dyDescent="0.25">
      <c r="A64" s="217">
        <v>4063</v>
      </c>
      <c r="B64" s="218" t="str">
        <f>'Custom cases'!D65</f>
        <v>Custom_Fault_3_0.20pu_SCR_5</v>
      </c>
      <c r="C64" s="416"/>
      <c r="D64" s="203" t="s">
        <v>10</v>
      </c>
    </row>
    <row r="65" spans="1:4" x14ac:dyDescent="0.25">
      <c r="A65" s="217">
        <v>4064</v>
      </c>
      <c r="B65" s="218" t="str">
        <f>'Custom cases'!D66</f>
        <v>Custom_Fault_3_0.20pu_SCR_6</v>
      </c>
      <c r="C65" s="416"/>
      <c r="D65" s="203" t="s">
        <v>10</v>
      </c>
    </row>
    <row r="66" spans="1:4" x14ac:dyDescent="0.25">
      <c r="A66" s="217">
        <v>4065</v>
      </c>
      <c r="B66" s="218" t="str">
        <f>'Custom cases'!D67</f>
        <v>Custom_Fault_2_0.20pu_SCR_2</v>
      </c>
      <c r="C66" s="416"/>
      <c r="D66" s="203" t="s">
        <v>10</v>
      </c>
    </row>
    <row r="67" spans="1:4" x14ac:dyDescent="0.25">
      <c r="A67" s="217">
        <v>4066</v>
      </c>
      <c r="B67" s="218" t="str">
        <f>'Custom cases'!D68</f>
        <v>Custom_Fault_2_0.20pu_SCR_3</v>
      </c>
      <c r="C67" s="416"/>
      <c r="D67" s="203" t="s">
        <v>10</v>
      </c>
    </row>
    <row r="68" spans="1:4" x14ac:dyDescent="0.25">
      <c r="A68" s="217">
        <v>4067</v>
      </c>
      <c r="B68" s="218" t="str">
        <f>'Custom cases'!D69</f>
        <v>Custom_Fault_2_0.20pu_SCR_4</v>
      </c>
      <c r="C68" s="416"/>
      <c r="D68" s="203" t="s">
        <v>10</v>
      </c>
    </row>
    <row r="69" spans="1:4" x14ac:dyDescent="0.25">
      <c r="A69" s="217">
        <v>4068</v>
      </c>
      <c r="B69" s="218" t="str">
        <f>'Custom cases'!D70</f>
        <v>Custom_Fault_2_0.20pu_SCR_5</v>
      </c>
      <c r="C69" s="416"/>
      <c r="D69" s="203" t="s">
        <v>10</v>
      </c>
    </row>
    <row r="70" spans="1:4" x14ac:dyDescent="0.25">
      <c r="A70" s="217">
        <v>4069</v>
      </c>
      <c r="B70" s="218" t="str">
        <f>'Custom cases'!D71</f>
        <v>Custom_Fault_2_0.20pu_SCR_6</v>
      </c>
      <c r="C70" s="416"/>
      <c r="D70" s="203" t="s">
        <v>10</v>
      </c>
    </row>
    <row r="71" spans="1:4" x14ac:dyDescent="0.25">
      <c r="A71" s="217">
        <v>4070</v>
      </c>
      <c r="B71" s="218" t="str">
        <f>'Custom cases'!D72</f>
        <v>Custom_Fault_3_0.70pu_SCR_2</v>
      </c>
      <c r="C71" s="416"/>
      <c r="D71" s="203" t="s">
        <v>10</v>
      </c>
    </row>
    <row r="72" spans="1:4" x14ac:dyDescent="0.25">
      <c r="A72" s="217">
        <v>4071</v>
      </c>
      <c r="B72" s="218" t="str">
        <f>'Custom cases'!D73</f>
        <v>Custom_Fault_3_0.70pu_SCR_3</v>
      </c>
      <c r="C72" s="416"/>
      <c r="D72" s="203" t="s">
        <v>10</v>
      </c>
    </row>
    <row r="73" spans="1:4" x14ac:dyDescent="0.25">
      <c r="A73" s="217">
        <v>4072</v>
      </c>
      <c r="B73" s="218" t="str">
        <f>'Custom cases'!D74</f>
        <v>Custom_Fault_3_0.70pu_SCR_4</v>
      </c>
      <c r="C73" s="416"/>
      <c r="D73" s="203" t="s">
        <v>10</v>
      </c>
    </row>
    <row r="74" spans="1:4" x14ac:dyDescent="0.25">
      <c r="A74" s="217">
        <v>4073</v>
      </c>
      <c r="B74" s="218" t="str">
        <f>'Custom cases'!D75</f>
        <v>Custom_Fault_3_0.70pu_SCR_5</v>
      </c>
      <c r="C74" s="416"/>
      <c r="D74" s="203" t="s">
        <v>10</v>
      </c>
    </row>
    <row r="75" spans="1:4" x14ac:dyDescent="0.25">
      <c r="A75" s="217">
        <v>4074</v>
      </c>
      <c r="B75" s="218" t="str">
        <f>'Custom cases'!D76</f>
        <v>Custom_Fault_3_0.70pu_SCR_6</v>
      </c>
      <c r="C75" s="416"/>
      <c r="D75" s="203" t="s">
        <v>10</v>
      </c>
    </row>
    <row r="76" spans="1:4" x14ac:dyDescent="0.25">
      <c r="A76" s="217">
        <v>4075</v>
      </c>
      <c r="B76" s="218" t="str">
        <f>'Custom cases'!D77</f>
        <v>Custom_Fault_2_0.70pu_SCR_2</v>
      </c>
      <c r="C76" s="416"/>
      <c r="D76" s="203" t="s">
        <v>10</v>
      </c>
    </row>
    <row r="77" spans="1:4" x14ac:dyDescent="0.25">
      <c r="A77" s="217">
        <v>4076</v>
      </c>
      <c r="B77" s="218" t="str">
        <f>'Custom cases'!D78</f>
        <v>Custom_Fault_2_0.70pu_SCR_3</v>
      </c>
      <c r="C77" s="416"/>
      <c r="D77" s="203" t="s">
        <v>10</v>
      </c>
    </row>
    <row r="78" spans="1:4" x14ac:dyDescent="0.25">
      <c r="A78" s="217">
        <v>4077</v>
      </c>
      <c r="B78" s="218" t="str">
        <f>'Custom cases'!D79</f>
        <v>Custom_Fault_2_0.70pu_SCR_4</v>
      </c>
      <c r="C78" s="416"/>
      <c r="D78" s="203" t="s">
        <v>10</v>
      </c>
    </row>
    <row r="79" spans="1:4" x14ac:dyDescent="0.25">
      <c r="A79" s="217">
        <v>4078</v>
      </c>
      <c r="B79" s="218" t="str">
        <f>'Custom cases'!D80</f>
        <v>Custom_Fault_2_0.70pu_SCR_5</v>
      </c>
      <c r="C79" s="416"/>
      <c r="D79" s="203" t="s">
        <v>10</v>
      </c>
    </row>
    <row r="80" spans="1:4" ht="15.75" thickBot="1" x14ac:dyDescent="0.3">
      <c r="A80" s="219">
        <v>4079</v>
      </c>
      <c r="B80" s="220" t="str">
        <f>'Custom cases'!D81</f>
        <v>Custom_Fault_2_0.70pu_SCR_6</v>
      </c>
      <c r="C80" s="417"/>
      <c r="D80" s="204" t="s">
        <v>10</v>
      </c>
    </row>
    <row r="81" spans="1:4" x14ac:dyDescent="0.25">
      <c r="A81" s="193">
        <v>4080</v>
      </c>
      <c r="B81" s="209" t="str">
        <f>'Custom cases'!D82</f>
        <v>Custom_Fault_3_0.20pu_Duration_80</v>
      </c>
      <c r="C81" s="415" t="s">
        <v>531</v>
      </c>
      <c r="D81" s="139" t="s">
        <v>532</v>
      </c>
    </row>
    <row r="82" spans="1:4" x14ac:dyDescent="0.25">
      <c r="A82" s="193">
        <v>4081</v>
      </c>
      <c r="B82" s="209" t="str">
        <f>'Custom cases'!D83</f>
        <v>Custom_Fault_3_0.20pu_Duration_60</v>
      </c>
      <c r="C82" s="416"/>
      <c r="D82" s="203" t="s">
        <v>10</v>
      </c>
    </row>
    <row r="83" spans="1:4" x14ac:dyDescent="0.25">
      <c r="A83" s="193">
        <v>4082</v>
      </c>
      <c r="B83" s="209" t="str">
        <f>'Custom cases'!D84</f>
        <v>Custom_Fault_3_0.20pu_Duration_40</v>
      </c>
      <c r="C83" s="416"/>
      <c r="D83" s="203" t="s">
        <v>10</v>
      </c>
    </row>
    <row r="84" spans="1:4" ht="30" x14ac:dyDescent="0.25">
      <c r="A84" s="193">
        <v>4083</v>
      </c>
      <c r="B84" s="209" t="str">
        <f>'Custom cases'!D85</f>
        <v>Custom_Shift_10_Fault_3_0.20pu</v>
      </c>
      <c r="C84" s="416"/>
      <c r="D84" s="139" t="s">
        <v>533</v>
      </c>
    </row>
    <row r="85" spans="1:4" x14ac:dyDescent="0.25">
      <c r="A85" s="193">
        <v>4084</v>
      </c>
      <c r="B85" s="209" t="str">
        <f>'Custom cases'!D86</f>
        <v>Custom_Shift_20_Fault_3_0.20pu</v>
      </c>
      <c r="C85" s="416"/>
      <c r="D85" s="203" t="s">
        <v>10</v>
      </c>
    </row>
    <row r="86" spans="1:4" x14ac:dyDescent="0.25">
      <c r="A86" s="193">
        <v>4085</v>
      </c>
      <c r="B86" s="209" t="str">
        <f>'Custom cases'!D87</f>
        <v>Custom_Shift_30_Fault_3_0.20pu</v>
      </c>
      <c r="C86" s="416"/>
      <c r="D86" s="203" t="s">
        <v>10</v>
      </c>
    </row>
    <row r="87" spans="1:4" x14ac:dyDescent="0.25">
      <c r="A87" s="193">
        <v>4086</v>
      </c>
      <c r="B87" s="209" t="str">
        <f>'Custom cases'!D88</f>
        <v>Custom_Shift_40_Fault_3_0.20pu</v>
      </c>
      <c r="C87" s="416"/>
      <c r="D87" s="203" t="s">
        <v>10</v>
      </c>
    </row>
    <row r="88" spans="1:4" ht="15.75" thickBot="1" x14ac:dyDescent="0.3">
      <c r="A88" s="202">
        <v>4087</v>
      </c>
      <c r="B88" s="210" t="str">
        <f>'Custom cases'!D89</f>
        <v>Custom_Shift_50_Fault_3_0.20pu</v>
      </c>
      <c r="C88" s="417"/>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Jakob Faurbye Pedersen</cp:lastModifiedBy>
  <cp:revision/>
  <dcterms:created xsi:type="dcterms:W3CDTF">2015-06-05T18:19:34Z</dcterms:created>
  <dcterms:modified xsi:type="dcterms:W3CDTF">2026-06-29T09:02:57Z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