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B0766EC9-A7A5-4765-A13C-18FF12E68EBA}" xr6:coauthVersionLast="47" xr6:coauthVersionMax="47" xr10:uidLastSave="{00000000-0000-0000-0000-000000000000}"/>
  <bookViews>
    <workbookView xWindow="2440" yWindow="14290" windowWidth="29020" windowHeight="1750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<sst xmlns="http://schemas.openxmlformats.org/spreadsheetml/2006/main" count="5406" uniqueCount="925">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</sst>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3">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1" fillId="0" borderId="0" xfId="0" applyFont="1" applyAlignment="1">
      <alignment vertical="center"/>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5" t="s">
        <v>224</v>
      </c>
      <c r="B2" s="308" t="s">
        <v>214</v>
      </c>
      <c r="C2" s="250" t="s">
        <v>10</v>
      </c>
      <c r="D2" s="346"/>
    </row>
    <row r="3" spans="1:13" x14ac:dyDescent="0.25">
      <c r="A3" s="345" t="s">
        <v>237</v>
      </c>
      <c r="B3" s="308" t="b">
        <v>0</v>
      </c>
      <c r="C3" s="250" t="s">
        <v>10</v>
      </c>
      <c r="D3" s="251" t="s">
        <v>322</v>
      </c>
      <c r="G3" s="124"/>
      <c r="H3" s="383" t="s">
        <v>339</v>
      </c>
      <c r="I3" s="383"/>
      <c r="J3" s="383"/>
      <c r="K3" s="383" t="s">
        <v>340</v>
      </c>
      <c r="L3" s="383"/>
      <c r="M3" s="384"/>
    </row>
    <row r="4" spans="1:13" x14ac:dyDescent="0.25">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25">
      <c r="A5" s="348" t="s">
        <v>2</v>
      </c>
      <c r="B5" s="241">
        <v>200</v>
      </c>
      <c r="C5" s="349" t="s">
        <v>3</v>
      </c>
      <c r="D5" s="350"/>
      <c r="E5" s="13"/>
      <c r="G5" s="372"/>
      <c r="H5" s="123"/>
      <c r="I5" s="123"/>
      <c r="J5" s="123"/>
      <c r="K5" s="123"/>
      <c r="L5" s="123"/>
      <c r="M5" s="373"/>
    </row>
    <row r="6" spans="1:13" s="2" customFormat="1" ht="15.75" thickBot="1" x14ac:dyDescent="0.3">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25">
      <c r="A7" s="240" t="s">
        <v>870</v>
      </c>
      <c r="B7" s="246">
        <v>4</v>
      </c>
      <c r="C7" s="250" t="s">
        <v>10</v>
      </c>
      <c r="D7" s="244"/>
      <c r="E7" s="13"/>
      <c r="F7" s="4"/>
      <c r="G7" s="4"/>
      <c r="H7" s="4"/>
      <c r="I7" s="4"/>
      <c r="J7" s="4"/>
      <c r="K7" s="4"/>
    </row>
    <row r="8" spans="1:13" s="2" customFormat="1" x14ac:dyDescent="0.25">
      <c r="A8" s="351" t="s">
        <v>871</v>
      </c>
      <c r="B8" s="352">
        <v>200</v>
      </c>
      <c r="C8" s="353" t="s">
        <v>3</v>
      </c>
      <c r="D8" s="244" t="s">
        <v>872</v>
      </c>
      <c r="E8" s="13"/>
      <c r="F8" s="4"/>
      <c r="G8" s="4"/>
      <c r="H8" s="4"/>
      <c r="I8" s="4"/>
      <c r="J8" s="4"/>
      <c r="K8" s="4"/>
    </row>
    <row r="9" spans="1:13" s="2" customFormat="1" ht="15.75" thickBot="1" x14ac:dyDescent="0.3">
      <c r="A9" s="351" t="s">
        <v>873</v>
      </c>
      <c r="B9" s="352">
        <v>-100</v>
      </c>
      <c r="C9" s="353" t="s">
        <v>3</v>
      </c>
      <c r="D9" s="244" t="s">
        <v>874</v>
      </c>
      <c r="E9" s="13"/>
      <c r="F9" s="4"/>
      <c r="G9" s="4"/>
      <c r="H9" s="4"/>
      <c r="I9" s="4"/>
      <c r="J9" s="4"/>
      <c r="K9" s="4"/>
    </row>
    <row r="10" spans="1:13" s="2" customFormat="1" x14ac:dyDescent="0.25">
      <c r="A10" s="362" t="s">
        <v>913</v>
      </c>
      <c r="B10" s="363" t="s">
        <v>875</v>
      </c>
      <c r="C10" s="364"/>
      <c r="D10" s="357"/>
      <c r="E10" s="13"/>
    </row>
    <row r="11" spans="1:13" s="2" customFormat="1" x14ac:dyDescent="0.25">
      <c r="A11" s="365" t="s">
        <v>881</v>
      </c>
      <c r="B11" s="366">
        <v>250</v>
      </c>
      <c r="C11" s="367" t="s">
        <v>3</v>
      </c>
      <c r="D11" s="244" t="s">
        <v>876</v>
      </c>
      <c r="E11" s="13"/>
    </row>
    <row r="12" spans="1:13" s="2" customFormat="1" x14ac:dyDescent="0.25">
      <c r="A12" s="365" t="s">
        <v>882</v>
      </c>
      <c r="B12" s="366">
        <v>1</v>
      </c>
      <c r="C12" s="367" t="s">
        <v>139</v>
      </c>
      <c r="D12" s="244" t="s">
        <v>877</v>
      </c>
      <c r="E12" s="13"/>
    </row>
    <row r="13" spans="1:13" s="2" customFormat="1" ht="15.75" thickBot="1" x14ac:dyDescent="0.3">
      <c r="A13" s="368" t="s">
        <v>889</v>
      </c>
      <c r="B13" s="369">
        <v>0</v>
      </c>
      <c r="C13" s="370" t="s">
        <v>3</v>
      </c>
      <c r="D13" s="244" t="s">
        <v>878</v>
      </c>
      <c r="E13" s="13"/>
    </row>
    <row r="14" spans="1:13" s="2" customFormat="1" x14ac:dyDescent="0.25">
      <c r="A14" s="354" t="s">
        <v>914</v>
      </c>
      <c r="B14" s="355" t="s">
        <v>879</v>
      </c>
      <c r="C14" s="356"/>
      <c r="D14" s="357"/>
      <c r="E14" s="13"/>
      <c r="F14" s="4"/>
    </row>
    <row r="15" spans="1:13" s="2" customFormat="1" x14ac:dyDescent="0.25">
      <c r="A15" s="351" t="s">
        <v>883</v>
      </c>
      <c r="B15" s="352">
        <v>100</v>
      </c>
      <c r="C15" s="358" t="s">
        <v>3</v>
      </c>
      <c r="D15" s="244" t="s">
        <v>876</v>
      </c>
      <c r="E15" s="13"/>
      <c r="F15" s="4"/>
    </row>
    <row r="16" spans="1:13" s="2" customFormat="1" x14ac:dyDescent="0.25">
      <c r="A16" s="351" t="s">
        <v>884</v>
      </c>
      <c r="B16" s="352">
        <v>0.5</v>
      </c>
      <c r="C16" s="358" t="s">
        <v>139</v>
      </c>
      <c r="D16" s="244" t="s">
        <v>877</v>
      </c>
      <c r="E16" s="13"/>
      <c r="F16" s="4"/>
    </row>
    <row r="17" spans="1:11" s="2" customFormat="1" ht="15.75" thickBot="1" x14ac:dyDescent="0.3">
      <c r="A17" s="359" t="s">
        <v>890</v>
      </c>
      <c r="B17" s="360">
        <v>-100</v>
      </c>
      <c r="C17" s="361" t="s">
        <v>3</v>
      </c>
      <c r="D17" s="244" t="s">
        <v>878</v>
      </c>
      <c r="E17" s="13"/>
      <c r="F17" s="4"/>
    </row>
    <row r="18" spans="1:11" s="2" customFormat="1" x14ac:dyDescent="0.25">
      <c r="A18" s="362" t="s">
        <v>915</v>
      </c>
      <c r="B18" s="363" t="s">
        <v>880</v>
      </c>
      <c r="C18" s="364"/>
      <c r="D18" s="357"/>
      <c r="E18" s="13"/>
      <c r="F18" s="4"/>
      <c r="G18" s="4"/>
      <c r="H18" s="4"/>
      <c r="I18" s="4"/>
      <c r="J18" s="4"/>
      <c r="K18" s="4"/>
    </row>
    <row r="19" spans="1:11" s="2" customFormat="1" x14ac:dyDescent="0.25">
      <c r="A19" s="365" t="s">
        <v>885</v>
      </c>
      <c r="B19" s="366">
        <v>0</v>
      </c>
      <c r="C19" s="367" t="s">
        <v>3</v>
      </c>
      <c r="D19" s="244" t="s">
        <v>876</v>
      </c>
      <c r="E19" s="13"/>
      <c r="F19" s="4"/>
      <c r="G19" s="4"/>
      <c r="H19" s="4"/>
      <c r="I19" s="4"/>
      <c r="J19" s="4"/>
      <c r="K19" s="4"/>
    </row>
    <row r="20" spans="1:11" s="2" customFormat="1" x14ac:dyDescent="0.25">
      <c r="A20" s="365" t="s">
        <v>886</v>
      </c>
      <c r="B20" s="366">
        <v>1</v>
      </c>
      <c r="C20" s="367" t="s">
        <v>139</v>
      </c>
      <c r="D20" s="244" t="s">
        <v>877</v>
      </c>
      <c r="E20" s="13"/>
      <c r="F20" s="4"/>
      <c r="G20" s="4"/>
      <c r="H20" s="4"/>
      <c r="I20" s="4"/>
      <c r="J20" s="4"/>
      <c r="K20" s="4"/>
    </row>
    <row r="21" spans="1:11" s="2" customFormat="1" ht="15.75" thickBot="1" x14ac:dyDescent="0.3">
      <c r="A21" s="368" t="s">
        <v>891</v>
      </c>
      <c r="B21" s="369">
        <v>-10</v>
      </c>
      <c r="C21" s="370" t="s">
        <v>3</v>
      </c>
      <c r="D21" s="244" t="s">
        <v>878</v>
      </c>
      <c r="E21" s="13"/>
      <c r="F21" s="4"/>
      <c r="G21" s="4"/>
      <c r="H21" s="4"/>
      <c r="I21" s="4"/>
      <c r="J21" s="4"/>
      <c r="K21" s="4"/>
    </row>
    <row r="22" spans="1:11" s="2" customFormat="1" x14ac:dyDescent="0.25">
      <c r="A22" s="354" t="s">
        <v>916</v>
      </c>
      <c r="B22" s="355" t="s">
        <v>875</v>
      </c>
      <c r="C22" s="356"/>
      <c r="D22" s="357"/>
      <c r="E22" s="13"/>
      <c r="F22" s="4"/>
      <c r="G22" s="4"/>
      <c r="H22" s="4"/>
      <c r="I22" s="4"/>
      <c r="J22" s="4"/>
      <c r="K22" s="4"/>
    </row>
    <row r="23" spans="1:11" s="2" customFormat="1" x14ac:dyDescent="0.25">
      <c r="A23" s="351" t="s">
        <v>887</v>
      </c>
      <c r="B23" s="352">
        <v>10</v>
      </c>
      <c r="C23" s="358" t="s">
        <v>3</v>
      </c>
      <c r="D23" s="244" t="s">
        <v>876</v>
      </c>
      <c r="E23" s="13"/>
      <c r="F23" s="4"/>
      <c r="G23" s="4"/>
      <c r="H23" s="4"/>
      <c r="I23" s="4"/>
      <c r="J23" s="4"/>
      <c r="K23" s="4"/>
    </row>
    <row r="24" spans="1:11" s="2" customFormat="1" x14ac:dyDescent="0.25">
      <c r="A24" s="351" t="s">
        <v>888</v>
      </c>
      <c r="B24" s="352">
        <v>1</v>
      </c>
      <c r="C24" s="358" t="s">
        <v>139</v>
      </c>
      <c r="D24" s="244" t="s">
        <v>877</v>
      </c>
      <c r="E24" s="13"/>
      <c r="F24" s="4"/>
      <c r="G24" s="4"/>
      <c r="H24" s="4"/>
      <c r="I24" s="4"/>
      <c r="J24" s="4"/>
      <c r="K24" s="4"/>
    </row>
    <row r="25" spans="1:11" s="2" customFormat="1" ht="15.75" thickBot="1" x14ac:dyDescent="0.3">
      <c r="A25" s="359" t="s">
        <v>892</v>
      </c>
      <c r="B25" s="360">
        <v>0</v>
      </c>
      <c r="C25" s="361" t="s">
        <v>3</v>
      </c>
      <c r="D25" s="244" t="s">
        <v>878</v>
      </c>
      <c r="E25" s="13"/>
      <c r="F25" s="4"/>
      <c r="G25" s="4"/>
      <c r="H25" s="4"/>
      <c r="I25" s="4"/>
      <c r="J25" s="4"/>
      <c r="K25" s="4"/>
    </row>
    <row r="26" spans="1:11" x14ac:dyDescent="0.25">
      <c r="A26" s="348" t="s">
        <v>4</v>
      </c>
      <c r="B26" s="241">
        <v>161.9</v>
      </c>
      <c r="C26" s="371" t="s">
        <v>5</v>
      </c>
      <c r="D26" s="251" t="s">
        <v>326</v>
      </c>
    </row>
    <row r="27" spans="1:11" x14ac:dyDescent="0.25">
      <c r="A27" s="249" t="s">
        <v>6</v>
      </c>
      <c r="B27" s="241">
        <v>152</v>
      </c>
      <c r="C27" s="371" t="s">
        <v>5</v>
      </c>
      <c r="D27" s="251" t="s">
        <v>325</v>
      </c>
    </row>
    <row r="28" spans="1:11" x14ac:dyDescent="0.25">
      <c r="A28" s="249" t="s">
        <v>7</v>
      </c>
      <c r="B28" s="247" t="s">
        <v>8</v>
      </c>
      <c r="C28" s="371"/>
      <c r="D28" s="347"/>
    </row>
    <row r="29" spans="1:11" x14ac:dyDescent="0.25">
      <c r="A29" s="249" t="s">
        <v>491</v>
      </c>
      <c r="B29" s="241">
        <v>0</v>
      </c>
      <c r="C29" s="371" t="s">
        <v>150</v>
      </c>
      <c r="D29" s="251" t="s">
        <v>494</v>
      </c>
    </row>
    <row r="30" spans="1:11" x14ac:dyDescent="0.25">
      <c r="A30" s="249" t="s">
        <v>481</v>
      </c>
      <c r="B30" s="245">
        <v>6</v>
      </c>
      <c r="C30" s="371" t="s">
        <v>13</v>
      </c>
      <c r="D30" s="347"/>
    </row>
    <row r="31" spans="1:11" x14ac:dyDescent="0.25">
      <c r="A31" s="249" t="s">
        <v>9</v>
      </c>
      <c r="B31" s="245">
        <v>10</v>
      </c>
      <c r="C31" s="250" t="s">
        <v>10</v>
      </c>
      <c r="D31" s="347"/>
    </row>
    <row r="32" spans="1:11" x14ac:dyDescent="0.25">
      <c r="A32" s="249" t="s">
        <v>11</v>
      </c>
      <c r="B32" s="245">
        <v>20</v>
      </c>
      <c r="C32" s="250" t="s">
        <v>10</v>
      </c>
      <c r="D32" s="347"/>
    </row>
    <row r="33" spans="1:8" x14ac:dyDescent="0.25">
      <c r="A33" s="249" t="s">
        <v>12</v>
      </c>
      <c r="B33" s="245">
        <v>30</v>
      </c>
      <c r="C33" s="250" t="s">
        <v>10</v>
      </c>
      <c r="D33" s="347"/>
    </row>
    <row r="34" spans="1:8" x14ac:dyDescent="0.25">
      <c r="A34" s="249" t="s">
        <v>548</v>
      </c>
      <c r="B34" s="245">
        <v>4</v>
      </c>
      <c r="C34" s="250" t="s">
        <v>13</v>
      </c>
      <c r="D34" s="347"/>
    </row>
    <row r="35" spans="1:8" x14ac:dyDescent="0.25">
      <c r="A35" s="249" t="s">
        <v>14</v>
      </c>
      <c r="B35" s="241">
        <v>10</v>
      </c>
      <c r="C35" s="250" t="s">
        <v>10</v>
      </c>
      <c r="D35" s="347"/>
      <c r="F35" s="144"/>
      <c r="G35" s="144"/>
      <c r="H35" s="144"/>
    </row>
    <row r="36" spans="1:8" x14ac:dyDescent="0.25">
      <c r="A36" s="249" t="s">
        <v>15</v>
      </c>
      <c r="B36" s="241">
        <v>15</v>
      </c>
      <c r="C36" s="250" t="s">
        <v>10</v>
      </c>
      <c r="D36" s="347"/>
      <c r="F36" s="14"/>
      <c r="G36" s="14"/>
      <c r="H36" s="14"/>
    </row>
    <row r="37" spans="1:8" x14ac:dyDescent="0.25">
      <c r="A37" s="249" t="s">
        <v>16</v>
      </c>
      <c r="B37" s="241">
        <v>20</v>
      </c>
      <c r="C37" s="250" t="s">
        <v>10</v>
      </c>
      <c r="D37" s="347"/>
      <c r="F37" s="14"/>
      <c r="G37" s="14"/>
      <c r="H37" s="14"/>
    </row>
    <row r="38" spans="1:8" x14ac:dyDescent="0.25">
      <c r="A38" s="249" t="s">
        <v>730</v>
      </c>
      <c r="B38" s="241" t="b">
        <v>0</v>
      </c>
      <c r="C38" s="250" t="s">
        <v>10</v>
      </c>
      <c r="D38" s="251" t="s">
        <v>729</v>
      </c>
      <c r="F38" s="14"/>
      <c r="G38" s="14"/>
      <c r="H38" s="14"/>
    </row>
    <row r="39" spans="1:8" x14ac:dyDescent="0.25">
      <c r="A39" s="249" t="s">
        <v>17</v>
      </c>
      <c r="B39" s="241">
        <v>0</v>
      </c>
      <c r="C39" s="250" t="s">
        <v>18</v>
      </c>
      <c r="D39" s="251" t="s">
        <v>327</v>
      </c>
      <c r="F39" s="14"/>
      <c r="G39" s="14"/>
      <c r="H39" s="14"/>
    </row>
    <row r="40" spans="1:8" x14ac:dyDescent="0.25">
      <c r="A40" s="249" t="s">
        <v>19</v>
      </c>
      <c r="B40" s="241">
        <v>0</v>
      </c>
      <c r="C40" s="250" t="s">
        <v>18</v>
      </c>
      <c r="D40" s="251" t="s">
        <v>327</v>
      </c>
      <c r="F40" s="14"/>
      <c r="G40" s="14"/>
      <c r="H40" s="14"/>
    </row>
    <row r="41" spans="1:8" x14ac:dyDescent="0.25">
      <c r="A41" s="249" t="s">
        <v>20</v>
      </c>
      <c r="B41" s="241" t="s">
        <v>21</v>
      </c>
      <c r="C41" s="250" t="s">
        <v>10</v>
      </c>
      <c r="D41" s="251" t="s">
        <v>22</v>
      </c>
      <c r="F41" s="14"/>
      <c r="G41" s="14"/>
      <c r="H41" s="14"/>
    </row>
    <row r="42" spans="1:8" x14ac:dyDescent="0.25">
      <c r="A42" s="249" t="s">
        <v>23</v>
      </c>
      <c r="B42" s="246">
        <v>10</v>
      </c>
      <c r="C42" s="371" t="s">
        <v>24</v>
      </c>
      <c r="D42" s="347"/>
    </row>
    <row r="43" spans="1:8" x14ac:dyDescent="0.25">
      <c r="A43" s="249" t="s">
        <v>25</v>
      </c>
      <c r="B43" s="247">
        <v>3.55</v>
      </c>
      <c r="C43" s="371" t="s">
        <v>26</v>
      </c>
      <c r="D43" s="251" t="s">
        <v>323</v>
      </c>
    </row>
    <row r="44" spans="1:8" x14ac:dyDescent="0.25">
      <c r="A44" s="249" t="s">
        <v>28</v>
      </c>
      <c r="B44" s="247">
        <v>0.15</v>
      </c>
      <c r="C44" s="371" t="s">
        <v>26</v>
      </c>
      <c r="D44" s="251" t="s">
        <v>324</v>
      </c>
    </row>
    <row r="45" spans="1:8" x14ac:dyDescent="0.25">
      <c r="A45" s="249" t="s">
        <v>29</v>
      </c>
      <c r="B45" s="247" t="b">
        <v>1</v>
      </c>
      <c r="C45" s="250" t="s">
        <v>10</v>
      </c>
      <c r="D45" s="347"/>
    </row>
    <row r="46" spans="1:8" x14ac:dyDescent="0.25">
      <c r="A46" s="249" t="s">
        <v>30</v>
      </c>
      <c r="B46" s="247" t="b">
        <v>0</v>
      </c>
      <c r="C46" s="250" t="s">
        <v>10</v>
      </c>
      <c r="D46" s="347"/>
    </row>
    <row r="47" spans="1:8" x14ac:dyDescent="0.25">
      <c r="A47" s="249" t="s">
        <v>31</v>
      </c>
      <c r="B47" s="247" t="b">
        <v>0</v>
      </c>
      <c r="C47" s="250" t="s">
        <v>10</v>
      </c>
      <c r="D47" s="347"/>
    </row>
    <row r="48" spans="1:8" x14ac:dyDescent="0.25">
      <c r="A48" s="249" t="s">
        <v>32</v>
      </c>
      <c r="B48" s="247" t="b">
        <v>1</v>
      </c>
      <c r="C48" s="250" t="s">
        <v>10</v>
      </c>
      <c r="D48" s="251" t="s">
        <v>33</v>
      </c>
    </row>
    <row r="49" spans="1:4" ht="15.75" thickBot="1" x14ac:dyDescent="0.3">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85" t="s">
        <v>8</v>
      </c>
      <c r="C1" s="386"/>
      <c r="D1" s="387"/>
      <c r="E1" s="385" t="s">
        <v>35</v>
      </c>
      <c r="F1" s="386"/>
      <c r="G1" s="386"/>
      <c r="H1" s="310"/>
      <c r="K1" s="388" t="s">
        <v>841</v>
      </c>
      <c r="L1" s="389"/>
    </row>
    <row r="2" spans="1:15" x14ac:dyDescent="0.25">
      <c r="A2" s="61" t="s">
        <v>6</v>
      </c>
      <c r="B2" s="62" t="s">
        <v>36</v>
      </c>
      <c r="C2" s="63" t="s">
        <v>37</v>
      </c>
      <c r="D2" s="64" t="s">
        <v>38</v>
      </c>
      <c r="E2" s="62" t="s">
        <v>36</v>
      </c>
      <c r="F2" s="63" t="s">
        <v>37</v>
      </c>
      <c r="G2" s="63" t="s">
        <v>38</v>
      </c>
      <c r="H2" s="65" t="s">
        <v>39</v>
      </c>
      <c r="K2" s="312" t="s">
        <v>214</v>
      </c>
      <c r="L2" s="311" t="b">
        <v>1</v>
      </c>
    </row>
    <row r="3" spans="1:15" x14ac:dyDescent="0.25">
      <c r="A3" s="28" t="s">
        <v>40</v>
      </c>
      <c r="B3" s="38"/>
      <c r="C3" s="29"/>
      <c r="D3" s="41"/>
      <c r="E3" s="38"/>
      <c r="F3" s="29"/>
      <c r="G3" s="29"/>
      <c r="H3" s="34"/>
      <c r="K3" s="313" t="s">
        <v>215</v>
      </c>
      <c r="L3" s="311"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25">
      <c r="A5" s="30" t="s">
        <v>42</v>
      </c>
      <c r="B5" s="39">
        <v>5</v>
      </c>
      <c r="C5">
        <v>5</v>
      </c>
      <c r="D5" s="42">
        <v>5</v>
      </c>
      <c r="E5" s="39">
        <v>4</v>
      </c>
      <c r="F5">
        <v>4</v>
      </c>
      <c r="G5">
        <v>4</v>
      </c>
      <c r="H5" s="35">
        <f t="shared" si="0"/>
        <v>5</v>
      </c>
      <c r="K5" s="313" t="s">
        <v>842</v>
      </c>
      <c r="L5" s="278"/>
    </row>
    <row r="6" spans="1:15" x14ac:dyDescent="0.25">
      <c r="A6" s="30" t="s">
        <v>43</v>
      </c>
      <c r="B6" s="39">
        <v>49.8</v>
      </c>
      <c r="C6">
        <v>49.8</v>
      </c>
      <c r="D6" s="42">
        <v>49.8</v>
      </c>
      <c r="E6" s="39">
        <v>49.5</v>
      </c>
      <c r="F6">
        <v>49.5</v>
      </c>
      <c r="G6">
        <v>49.5</v>
      </c>
      <c r="H6" s="35">
        <f>CHOOSE(IF(inp_Un&lt;110,0,1)+IF(inp_Un&gt;=300,1,0)+IF(inp_Area="DK1",0,3) + 1,B6,C6,D6,E6,F6,G6)</f>
        <v>49.8</v>
      </c>
      <c r="K6" s="314"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91" t="s">
        <v>492</v>
      </c>
      <c r="B1" s="391"/>
      <c r="C1" s="391"/>
      <c r="D1" s="391"/>
      <c r="E1" s="392" t="s">
        <v>493</v>
      </c>
      <c r="F1" s="393"/>
      <c r="G1" s="393"/>
      <c r="H1" s="393"/>
      <c r="I1" s="393"/>
      <c r="J1" s="393"/>
      <c r="K1" s="393"/>
      <c r="L1" s="393"/>
      <c r="M1" s="393"/>
      <c r="N1" s="393"/>
      <c r="O1" s="394"/>
      <c r="P1" s="390" t="s">
        <v>77</v>
      </c>
      <c r="Q1" s="390"/>
      <c r="R1" s="390"/>
      <c r="S1" s="390"/>
      <c r="T1" s="391" t="s">
        <v>78</v>
      </c>
      <c r="U1" s="391"/>
      <c r="V1" s="391"/>
      <c r="W1" s="391"/>
      <c r="X1" s="390" t="s">
        <v>79</v>
      </c>
      <c r="Y1" s="390"/>
      <c r="Z1" s="390"/>
      <c r="AA1" s="390"/>
      <c r="AB1" s="391" t="s">
        <v>80</v>
      </c>
      <c r="AC1" s="391"/>
      <c r="AD1" s="391"/>
      <c r="AE1" s="391"/>
      <c r="AF1" s="390" t="s">
        <v>81</v>
      </c>
      <c r="AG1" s="390"/>
      <c r="AH1" s="390"/>
      <c r="AI1" s="390"/>
      <c r="AJ1" s="391" t="s">
        <v>82</v>
      </c>
      <c r="AK1" s="391"/>
      <c r="AL1" s="391"/>
      <c r="AM1" s="391"/>
      <c r="AN1" s="390" t="s">
        <v>83</v>
      </c>
      <c r="AO1" s="390"/>
      <c r="AP1" s="390"/>
      <c r="AQ1" s="390"/>
      <c r="AR1" s="391" t="s">
        <v>84</v>
      </c>
      <c r="AS1" s="391"/>
      <c r="AT1" s="391"/>
      <c r="AU1" s="391"/>
      <c r="AV1" s="390" t="s">
        <v>85</v>
      </c>
      <c r="AW1" s="390"/>
      <c r="AX1" s="390"/>
      <c r="AY1" s="390"/>
      <c r="AZ1" s="391" t="s">
        <v>86</v>
      </c>
      <c r="BA1" s="391"/>
      <c r="BB1" s="391"/>
      <c r="BC1" s="391"/>
      <c r="BD1" s="390" t="s">
        <v>87</v>
      </c>
      <c r="BE1" s="390"/>
      <c r="BF1" s="390"/>
      <c r="BG1" s="390"/>
      <c r="BH1" s="391" t="s">
        <v>88</v>
      </c>
      <c r="BI1" s="391"/>
      <c r="BJ1" s="391"/>
      <c r="BK1" s="391"/>
      <c r="BL1" s="390" t="s">
        <v>497</v>
      </c>
      <c r="BM1" s="390"/>
      <c r="BN1" s="390"/>
      <c r="BO1" s="390"/>
    </row>
    <row r="2" spans="1:67" s="11" customFormat="1" ht="30" customHeight="1" x14ac:dyDescent="0.25">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571</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1.0651315789473685</v>
      </c>
      <c r="F28" s="81">
        <v>1</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580</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584</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586</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588</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11" t="b">
        <v>1</v>
      </c>
      <c r="C42" s="99" t="b">
        <v>1</v>
      </c>
      <c r="D42" s="1" t="s">
        <v>590</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598</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600</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603</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1.0651315789473685</v>
      </c>
      <c r="F59" s="81">
        <v>1</v>
      </c>
      <c r="G59" s="81" t="s">
        <v>105</v>
      </c>
      <c r="H59" s="83" t="s">
        <v>219</v>
      </c>
      <c r="I59" s="82" t="s">
        <v>21</v>
      </c>
      <c r="J59" s="81">
        <f t="shared" ref="J59:J99" si="20">IF(inp_default="Q(U)",E59,IF(inp_default="PF",1,0))</f>
        <v>0</v>
      </c>
      <c r="K59" s="81" t="s">
        <v>105</v>
      </c>
      <c r="L59" s="83">
        <f t="shared" ref="L59:L67" si="21">inp_scr_min</f>
        <v>10</v>
      </c>
      <c r="M59" s="83">
        <f t="shared" ref="M59:M67" si="22">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734</v>
      </c>
      <c r="E60" s="81">
        <f t="shared" si="18"/>
        <v>1.0651315789473685</v>
      </c>
      <c r="F60" s="81">
        <v>1</v>
      </c>
      <c r="G60" s="81" t="s">
        <v>105</v>
      </c>
      <c r="H60" s="83" t="s">
        <v>219</v>
      </c>
      <c r="I60" s="82" t="s">
        <v>110</v>
      </c>
      <c r="J60" s="81">
        <f t="shared" ref="J60" si="23">inp_Uc/inp_Un</f>
        <v>1.0651315789473685</v>
      </c>
      <c r="K60" s="81" t="s">
        <v>105</v>
      </c>
      <c r="L60" s="83">
        <f t="shared" si="21"/>
        <v>10</v>
      </c>
      <c r="M60" s="83">
        <f t="shared" si="22"/>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735</v>
      </c>
      <c r="E61" s="81">
        <f t="shared" si="18"/>
        <v>1.0651315789473685</v>
      </c>
      <c r="F61" s="81">
        <v>1</v>
      </c>
      <c r="G61" s="81" t="s">
        <v>105</v>
      </c>
      <c r="H61" s="83" t="s">
        <v>219</v>
      </c>
      <c r="I61" s="82" t="s">
        <v>105</v>
      </c>
      <c r="J61" s="81">
        <f t="shared" si="20"/>
        <v>0</v>
      </c>
      <c r="K61" s="81" t="s">
        <v>105</v>
      </c>
      <c r="L61" s="83">
        <f t="shared" si="21"/>
        <v>10</v>
      </c>
      <c r="M61" s="83">
        <f t="shared" si="22"/>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605</v>
      </c>
      <c r="E62" s="5">
        <f t="shared" si="18"/>
        <v>1.0651315789473685</v>
      </c>
      <c r="F62" s="24">
        <v>1</v>
      </c>
      <c r="G62" s="24" t="s">
        <v>105</v>
      </c>
      <c r="H62" s="21" t="s">
        <v>219</v>
      </c>
      <c r="I62" s="20" t="s">
        <v>105</v>
      </c>
      <c r="J62" s="24">
        <f t="shared" si="20"/>
        <v>0</v>
      </c>
      <c r="K62" s="24" t="s">
        <v>105</v>
      </c>
      <c r="L62" s="21">
        <f t="shared" si="21"/>
        <v>10</v>
      </c>
      <c r="M62" s="21">
        <f t="shared" si="22"/>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1.0651315789473685</v>
      </c>
      <c r="F63" s="24">
        <v>1</v>
      </c>
      <c r="G63" s="24" t="s">
        <v>105</v>
      </c>
      <c r="H63" s="21" t="s">
        <v>219</v>
      </c>
      <c r="I63" s="20" t="s">
        <v>105</v>
      </c>
      <c r="J63" s="24">
        <f t="shared" si="20"/>
        <v>0</v>
      </c>
      <c r="K63" s="24" t="s">
        <v>105</v>
      </c>
      <c r="L63" s="21">
        <f t="shared" si="21"/>
        <v>10</v>
      </c>
      <c r="M63" s="21">
        <f t="shared" si="22"/>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1.0651315789473685</v>
      </c>
      <c r="F64" s="24">
        <v>0.7</v>
      </c>
      <c r="G64" s="24" t="s">
        <v>105</v>
      </c>
      <c r="H64" s="21" t="s">
        <v>219</v>
      </c>
      <c r="I64" s="20" t="s">
        <v>105</v>
      </c>
      <c r="J64" s="24">
        <f t="shared" si="20"/>
        <v>0</v>
      </c>
      <c r="K64" s="24" t="s">
        <v>105</v>
      </c>
      <c r="L64" s="21">
        <f t="shared" si="21"/>
        <v>10</v>
      </c>
      <c r="M64" s="21">
        <f t="shared" si="22"/>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1.0651315789473685</v>
      </c>
      <c r="F65" s="24">
        <v>0.7</v>
      </c>
      <c r="G65" s="24" t="s">
        <v>105</v>
      </c>
      <c r="H65" s="21" t="s">
        <v>219</v>
      </c>
      <c r="I65" s="20" t="s">
        <v>105</v>
      </c>
      <c r="J65" s="24">
        <f t="shared" si="20"/>
        <v>0</v>
      </c>
      <c r="K65" s="24" t="s">
        <v>105</v>
      </c>
      <c r="L65" s="21">
        <f t="shared" si="21"/>
        <v>10</v>
      </c>
      <c r="M65" s="21">
        <f t="shared" si="22"/>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1.0651315789473685</v>
      </c>
      <c r="F66" s="24">
        <v>0.7</v>
      </c>
      <c r="G66" s="24" t="s">
        <v>105</v>
      </c>
      <c r="H66" s="21" t="s">
        <v>219</v>
      </c>
      <c r="I66" s="20" t="s">
        <v>105</v>
      </c>
      <c r="J66" s="24">
        <f t="shared" si="20"/>
        <v>0</v>
      </c>
      <c r="K66" s="24" t="s">
        <v>105</v>
      </c>
      <c r="L66" s="21">
        <f t="shared" si="21"/>
        <v>10</v>
      </c>
      <c r="M66" s="21">
        <f t="shared" si="22"/>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1.0651315789473685</v>
      </c>
      <c r="F67" s="24">
        <v>0.7</v>
      </c>
      <c r="G67" s="24" t="s">
        <v>105</v>
      </c>
      <c r="H67" s="21" t="s">
        <v>219</v>
      </c>
      <c r="I67" s="20" t="s">
        <v>105</v>
      </c>
      <c r="J67" s="24">
        <f t="shared" si="20"/>
        <v>0</v>
      </c>
      <c r="K67" s="24" t="s">
        <v>105</v>
      </c>
      <c r="L67" s="21">
        <f t="shared" si="21"/>
        <v>10</v>
      </c>
      <c r="M67" s="21">
        <f t="shared" si="22"/>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1.0651315789473685</v>
      </c>
      <c r="F68" s="24">
        <v>1</v>
      </c>
      <c r="G68" s="24" t="s">
        <v>105</v>
      </c>
      <c r="H68" s="21" t="s">
        <v>219</v>
      </c>
      <c r="I68" s="20" t="s">
        <v>105</v>
      </c>
      <c r="J68" s="24">
        <f t="shared" si="20"/>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1.0651315789473685</v>
      </c>
      <c r="F69" s="24">
        <v>0.5</v>
      </c>
      <c r="G69" s="24" t="s">
        <v>105</v>
      </c>
      <c r="H69" s="21" t="s">
        <v>219</v>
      </c>
      <c r="I69" s="20" t="s">
        <v>105</v>
      </c>
      <c r="J69" s="24">
        <f t="shared" si="20"/>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1.0651315789473685</v>
      </c>
      <c r="F70" s="81">
        <v>0.5</v>
      </c>
      <c r="G70" s="81">
        <v>0.5</v>
      </c>
      <c r="H70" s="83" t="s">
        <v>219</v>
      </c>
      <c r="I70" s="82" t="s">
        <v>105</v>
      </c>
      <c r="J70" s="81">
        <f t="shared" si="20"/>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1.0651315789473685</v>
      </c>
      <c r="F71" s="81">
        <v>1</v>
      </c>
      <c r="G71" s="81" t="s">
        <v>105</v>
      </c>
      <c r="H71" s="83" t="s">
        <v>219</v>
      </c>
      <c r="I71" s="82" t="s">
        <v>105</v>
      </c>
      <c r="J71" s="81">
        <f t="shared" si="20"/>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613</v>
      </c>
      <c r="E72" s="5">
        <f t="shared" si="18"/>
        <v>1.0651315789473685</v>
      </c>
      <c r="F72" s="24">
        <v>1</v>
      </c>
      <c r="G72" s="24" t="s">
        <v>105</v>
      </c>
      <c r="H72" s="21" t="s">
        <v>219</v>
      </c>
      <c r="I72" s="20" t="s">
        <v>105</v>
      </c>
      <c r="J72" s="24">
        <f t="shared" si="20"/>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1.0651315789473685</v>
      </c>
      <c r="F73" s="24">
        <v>1</v>
      </c>
      <c r="G73" s="24" t="s">
        <v>105</v>
      </c>
      <c r="H73" s="21" t="s">
        <v>219</v>
      </c>
      <c r="I73" s="20" t="s">
        <v>105</v>
      </c>
      <c r="J73" s="24">
        <f t="shared" si="20"/>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1.0651315789473685</v>
      </c>
      <c r="F74" s="24">
        <v>1</v>
      </c>
      <c r="G74" s="24" t="s">
        <v>105</v>
      </c>
      <c r="H74" s="21" t="s">
        <v>219</v>
      </c>
      <c r="I74" s="20" t="s">
        <v>105</v>
      </c>
      <c r="J74" s="24">
        <f t="shared" si="20"/>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1.0651315789473685</v>
      </c>
      <c r="F75" s="24">
        <v>1</v>
      </c>
      <c r="G75" s="24" t="s">
        <v>105</v>
      </c>
      <c r="H75" s="21" t="s">
        <v>219</v>
      </c>
      <c r="I75" s="20" t="s">
        <v>105</v>
      </c>
      <c r="J75" s="24">
        <f t="shared" si="20"/>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1.0651315789473685</v>
      </c>
      <c r="F76" s="24">
        <v>1</v>
      </c>
      <c r="G76" s="24" t="s">
        <v>105</v>
      </c>
      <c r="H76" s="21" t="s">
        <v>219</v>
      </c>
      <c r="I76" s="20" t="s">
        <v>105</v>
      </c>
      <c r="J76" s="24">
        <f t="shared" si="20"/>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1.0651315789473685</v>
      </c>
      <c r="F77" s="24">
        <v>1</v>
      </c>
      <c r="G77" s="24" t="s">
        <v>105</v>
      </c>
      <c r="H77" s="21" t="s">
        <v>219</v>
      </c>
      <c r="I77" s="20" t="s">
        <v>105</v>
      </c>
      <c r="J77" s="24">
        <f t="shared" si="20"/>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1.0651315789473685</v>
      </c>
      <c r="F78" s="24">
        <v>1</v>
      </c>
      <c r="G78" s="24" t="s">
        <v>105</v>
      </c>
      <c r="H78" s="21" t="s">
        <v>219</v>
      </c>
      <c r="I78" s="20" t="s">
        <v>105</v>
      </c>
      <c r="J78" s="24">
        <f t="shared" si="20"/>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1.0651315789473685</v>
      </c>
      <c r="F79" s="24">
        <v>1</v>
      </c>
      <c r="G79" s="24" t="s">
        <v>105</v>
      </c>
      <c r="H79" s="21" t="s">
        <v>219</v>
      </c>
      <c r="I79" s="20" t="s">
        <v>105</v>
      </c>
      <c r="J79" s="24">
        <f t="shared" si="20"/>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1.0651315789473685</v>
      </c>
      <c r="F80" s="24">
        <v>1</v>
      </c>
      <c r="G80" s="24" t="s">
        <v>105</v>
      </c>
      <c r="H80" s="21" t="s">
        <v>219</v>
      </c>
      <c r="I80" s="20" t="s">
        <v>105</v>
      </c>
      <c r="J80" s="24">
        <f t="shared" si="20"/>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1.0651315789473685</v>
      </c>
      <c r="F81" s="24">
        <v>1</v>
      </c>
      <c r="G81" s="24" t="s">
        <v>105</v>
      </c>
      <c r="H81" s="21" t="s">
        <v>219</v>
      </c>
      <c r="I81" s="20" t="s">
        <v>105</v>
      </c>
      <c r="J81" s="24">
        <f t="shared" si="20"/>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1.0651315789473685</v>
      </c>
      <c r="F82" s="24">
        <v>1</v>
      </c>
      <c r="G82" s="24" t="s">
        <v>105</v>
      </c>
      <c r="H82" s="21" t="s">
        <v>219</v>
      </c>
      <c r="I82" s="20" t="s">
        <v>105</v>
      </c>
      <c r="J82" s="24">
        <f t="shared" si="20"/>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1.0651315789473685</v>
      </c>
      <c r="F83" s="24">
        <v>1</v>
      </c>
      <c r="G83" s="24" t="s">
        <v>105</v>
      </c>
      <c r="H83" s="21" t="s">
        <v>219</v>
      </c>
      <c r="I83" s="20" t="s">
        <v>105</v>
      </c>
      <c r="J83" s="24">
        <f t="shared" si="20"/>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1.0651315789473685</v>
      </c>
      <c r="F84" s="24">
        <v>1</v>
      </c>
      <c r="G84" s="24" t="s">
        <v>105</v>
      </c>
      <c r="H84" s="21" t="s">
        <v>219</v>
      </c>
      <c r="I84" s="20" t="s">
        <v>105</v>
      </c>
      <c r="J84" s="24">
        <f t="shared" si="20"/>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1.0651315789473685</v>
      </c>
      <c r="F85" s="24">
        <v>1</v>
      </c>
      <c r="G85" s="24" t="s">
        <v>105</v>
      </c>
      <c r="H85" s="21" t="s">
        <v>219</v>
      </c>
      <c r="I85" s="20" t="s">
        <v>105</v>
      </c>
      <c r="J85" s="24">
        <f t="shared" si="20"/>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1.0651315789473685</v>
      </c>
      <c r="F86" s="24">
        <v>1</v>
      </c>
      <c r="G86" s="24" t="s">
        <v>105</v>
      </c>
      <c r="H86" s="21" t="s">
        <v>219</v>
      </c>
      <c r="I86" s="20" t="s">
        <v>105</v>
      </c>
      <c r="J86" s="24">
        <f t="shared" si="20"/>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1.0651315789473685</v>
      </c>
      <c r="F87" s="24">
        <v>1</v>
      </c>
      <c r="G87" s="24" t="s">
        <v>105</v>
      </c>
      <c r="H87" s="21" t="s">
        <v>219</v>
      </c>
      <c r="I87" s="20" t="s">
        <v>105</v>
      </c>
      <c r="J87" s="24">
        <f t="shared" si="20"/>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1.0651315789473685</v>
      </c>
      <c r="F88" s="24">
        <v>1</v>
      </c>
      <c r="G88" s="24" t="s">
        <v>105</v>
      </c>
      <c r="H88" s="21" t="s">
        <v>219</v>
      </c>
      <c r="I88" s="20" t="s">
        <v>105</v>
      </c>
      <c r="J88" s="24">
        <f t="shared" si="20"/>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1.0651315789473685</v>
      </c>
      <c r="F89" s="24">
        <v>1</v>
      </c>
      <c r="G89" s="24" t="s">
        <v>105</v>
      </c>
      <c r="H89" s="21" t="s">
        <v>219</v>
      </c>
      <c r="I89" s="20" t="s">
        <v>105</v>
      </c>
      <c r="J89" s="24">
        <f t="shared" si="20"/>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1.0651315789473685</v>
      </c>
      <c r="F90" s="24">
        <v>1</v>
      </c>
      <c r="G90" s="24" t="s">
        <v>105</v>
      </c>
      <c r="H90" s="21" t="s">
        <v>219</v>
      </c>
      <c r="I90" s="20" t="s">
        <v>105</v>
      </c>
      <c r="J90" s="24">
        <f t="shared" si="20"/>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1.0651315789473685</v>
      </c>
      <c r="F91" s="81">
        <v>1</v>
      </c>
      <c r="G91" s="81" t="s">
        <v>105</v>
      </c>
      <c r="H91" s="83" t="s">
        <v>219</v>
      </c>
      <c r="I91" s="82" t="s">
        <v>105</v>
      </c>
      <c r="J91" s="81">
        <f t="shared" si="20"/>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633</v>
      </c>
      <c r="E92" s="81">
        <f t="shared" si="18"/>
        <v>1.0651315789473685</v>
      </c>
      <c r="F92" s="81">
        <v>1</v>
      </c>
      <c r="G92" s="81" t="s">
        <v>105</v>
      </c>
      <c r="H92" s="83" t="s">
        <v>219</v>
      </c>
      <c r="I92" s="82" t="s">
        <v>105</v>
      </c>
      <c r="J92" s="81">
        <f t="shared" si="20"/>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634</v>
      </c>
      <c r="E93" s="81">
        <f t="shared" si="18"/>
        <v>1.0651315789473685</v>
      </c>
      <c r="F93" s="81">
        <v>1</v>
      </c>
      <c r="G93" s="81" t="s">
        <v>105</v>
      </c>
      <c r="H93" s="83" t="s">
        <v>219</v>
      </c>
      <c r="I93" s="82" t="s">
        <v>105</v>
      </c>
      <c r="J93" s="81">
        <f t="shared" si="20"/>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635</v>
      </c>
      <c r="E94" s="81">
        <f t="shared" si="18"/>
        <v>1.0651315789473685</v>
      </c>
      <c r="F94" s="81">
        <v>1</v>
      </c>
      <c r="G94" s="81" t="s">
        <v>105</v>
      </c>
      <c r="H94" s="83" t="s">
        <v>219</v>
      </c>
      <c r="I94" s="82" t="s">
        <v>105</v>
      </c>
      <c r="J94" s="81">
        <f t="shared" si="20"/>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636</v>
      </c>
      <c r="E95" s="81">
        <f t="shared" si="18"/>
        <v>1.0651315789473685</v>
      </c>
      <c r="F95" s="81">
        <v>1</v>
      </c>
      <c r="G95" s="81" t="s">
        <v>105</v>
      </c>
      <c r="H95" s="83" t="s">
        <v>219</v>
      </c>
      <c r="I95" s="82" t="s">
        <v>105</v>
      </c>
      <c r="J95" s="81">
        <f t="shared" si="20"/>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639</v>
      </c>
      <c r="E96" s="81">
        <f t="shared" ref="E96:E99" si="31">inp_Uc/inp_Un</f>
        <v>1.0651315789473685</v>
      </c>
      <c r="F96" s="81">
        <v>0.5</v>
      </c>
      <c r="G96" s="81" t="s">
        <v>105</v>
      </c>
      <c r="H96" s="83" t="s">
        <v>219</v>
      </c>
      <c r="I96" s="82" t="s">
        <v>105</v>
      </c>
      <c r="J96" s="81">
        <f t="shared" si="20"/>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640</v>
      </c>
      <c r="E97" s="81">
        <f t="shared" si="31"/>
        <v>1.0651315789473685</v>
      </c>
      <c r="F97" s="81">
        <v>0.7</v>
      </c>
      <c r="G97" s="81" t="s">
        <v>105</v>
      </c>
      <c r="H97" s="83" t="s">
        <v>220</v>
      </c>
      <c r="I97" s="82" t="s">
        <v>105</v>
      </c>
      <c r="J97" s="81">
        <f t="shared" si="20"/>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641</v>
      </c>
      <c r="E98" s="81">
        <f t="shared" si="31"/>
        <v>1.0651315789473685</v>
      </c>
      <c r="F98" s="81">
        <v>0.7</v>
      </c>
      <c r="G98" s="81" t="s">
        <v>105</v>
      </c>
      <c r="H98" s="82" t="s">
        <v>220</v>
      </c>
      <c r="I98" s="82" t="s">
        <v>105</v>
      </c>
      <c r="J98" s="81">
        <f t="shared" si="20"/>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642</v>
      </c>
      <c r="E99" s="81">
        <f t="shared" si="31"/>
        <v>1.0651315789473685</v>
      </c>
      <c r="F99" s="81">
        <v>0.5</v>
      </c>
      <c r="G99" s="81" t="s">
        <v>105</v>
      </c>
      <c r="H99" s="82" t="s">
        <v>219</v>
      </c>
      <c r="I99" s="82" t="s">
        <v>105</v>
      </c>
      <c r="J99" s="81">
        <f t="shared" si="20"/>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644</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645</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646</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647</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648</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649</v>
      </c>
      <c r="E106" s="81">
        <f t="shared" si="35"/>
        <v>1.0651315789473685</v>
      </c>
      <c r="F106" s="81">
        <v>1</v>
      </c>
      <c r="G106" s="81" t="s">
        <v>105</v>
      </c>
      <c r="H106" s="83" t="s">
        <v>219</v>
      </c>
      <c r="I106" s="82" t="s">
        <v>110</v>
      </c>
      <c r="J106" s="81">
        <f t="shared" si="36"/>
        <v>1.0651315789473685</v>
      </c>
      <c r="K106" s="239" t="s">
        <v>544</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650</v>
      </c>
      <c r="E107" s="81">
        <f t="shared" si="35"/>
        <v>1.0651315789473685</v>
      </c>
      <c r="F107" s="81">
        <v>1</v>
      </c>
      <c r="G107" s="81" t="s">
        <v>105</v>
      </c>
      <c r="H107" s="83" t="s">
        <v>219</v>
      </c>
      <c r="I107" s="82" t="s">
        <v>110</v>
      </c>
      <c r="J107" s="81">
        <f t="shared" si="36"/>
        <v>1.0651315789473685</v>
      </c>
      <c r="K107" s="239" t="s">
        <v>545</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651</v>
      </c>
      <c r="E108" s="81">
        <f t="shared" si="35"/>
        <v>1.0651315789473685</v>
      </c>
      <c r="F108" s="81">
        <v>1</v>
      </c>
      <c r="G108" s="81" t="s">
        <v>105</v>
      </c>
      <c r="H108" s="83" t="s">
        <v>219</v>
      </c>
      <c r="I108" s="82" t="s">
        <v>110</v>
      </c>
      <c r="J108" s="81">
        <f t="shared" si="36"/>
        <v>1.0651315789473685</v>
      </c>
      <c r="K108" s="239" t="s">
        <v>546</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652</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496</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653</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724</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654</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655</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656</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657</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658</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659</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660</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661</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662</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663</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664</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665</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666</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667</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668</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669</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670</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671</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672</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673</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674</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675</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676</v>
      </c>
      <c r="E134" s="81">
        <f t="shared" si="55"/>
        <v>1.0651315789473685</v>
      </c>
      <c r="F134" s="81">
        <v>1</v>
      </c>
      <c r="G134" s="81" t="s">
        <v>105</v>
      </c>
      <c r="H134" s="83" t="s">
        <v>219</v>
      </c>
      <c r="I134" s="82" t="s">
        <v>105</v>
      </c>
      <c r="J134" s="81">
        <f>IF(inp_default="Q(U)",inp_Uc/inp_Un,IF(inp_default="PF",1,0))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677</v>
      </c>
      <c r="E135" s="81">
        <f t="shared" si="55"/>
        <v>1.0651315789473685</v>
      </c>
      <c r="F135" s="81">
        <v>1</v>
      </c>
      <c r="G135" s="81" t="s">
        <v>105</v>
      </c>
      <c r="H135" s="83" t="s">
        <v>219</v>
      </c>
      <c r="I135" s="82" t="s">
        <v>105</v>
      </c>
      <c r="J135" s="81">
        <f>IF(inp_default="Q(U)",inp_Uc/inp_Un,IF(inp_default="PF",1,0))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678</v>
      </c>
      <c r="E136" s="81">
        <f t="shared" si="55"/>
        <v>1.0651315789473685</v>
      </c>
      <c r="F136" s="81">
        <v>1</v>
      </c>
      <c r="G136" s="81" t="s">
        <v>105</v>
      </c>
      <c r="H136" s="83" t="s">
        <v>219</v>
      </c>
      <c r="I136" s="82" t="str">
        <f t="shared" ref="I136" si="60">IF(inp_default="Q(U)","Q",IF(inp_default="Q","Q(U)",0))</f>
        <v>Q(U)</v>
      </c>
      <c r="J136" s="81">
        <f t="shared" ref="J136" si="61">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679</v>
      </c>
      <c r="E137" s="81">
        <f t="shared" si="55"/>
        <v>1.0651315789473685</v>
      </c>
      <c r="F137" s="81">
        <v>1</v>
      </c>
      <c r="G137" s="81" t="s">
        <v>105</v>
      </c>
      <c r="H137" s="83" t="s">
        <v>219</v>
      </c>
      <c r="I137" s="82" t="s">
        <v>105</v>
      </c>
      <c r="J137" s="81">
        <f t="shared" ref="J137" si="62">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680</v>
      </c>
      <c r="E138" s="81">
        <f t="shared" si="55"/>
        <v>1.0651315789473685</v>
      </c>
      <c r="F138" s="81">
        <v>1</v>
      </c>
      <c r="G138" s="81" t="s">
        <v>105</v>
      </c>
      <c r="H138" s="83" t="s">
        <v>219</v>
      </c>
      <c r="I138" s="82" t="s">
        <v>105</v>
      </c>
      <c r="J138" s="81">
        <f t="shared" ref="J138:J142" si="63">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681</v>
      </c>
      <c r="E139" s="81">
        <f t="shared" si="55"/>
        <v>1.0651315789473685</v>
      </c>
      <c r="F139" s="81">
        <v>1</v>
      </c>
      <c r="G139" s="81" t="s">
        <v>105</v>
      </c>
      <c r="H139" s="83" t="s">
        <v>219</v>
      </c>
      <c r="I139" s="82" t="s">
        <v>105</v>
      </c>
      <c r="J139" s="81">
        <f t="shared" si="63"/>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736</v>
      </c>
      <c r="E140" s="81">
        <f t="shared" si="55"/>
        <v>1.0651315789473685</v>
      </c>
      <c r="F140" s="81">
        <v>1</v>
      </c>
      <c r="G140" s="81" t="s">
        <v>105</v>
      </c>
      <c r="H140" s="83" t="s">
        <v>219</v>
      </c>
      <c r="I140" s="82" t="s">
        <v>105</v>
      </c>
      <c r="J140" s="81">
        <f t="shared" si="63"/>
        <v>0</v>
      </c>
      <c r="K140" s="81" t="s">
        <v>105</v>
      </c>
      <c r="L140" s="83">
        <f t="shared" ref="L140:L141" si="64">inp_scr_min</f>
        <v>10</v>
      </c>
      <c r="M140" s="83">
        <f t="shared" ref="M140:M141" si="65">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6">inp_Un&gt;=110</f>
        <v>1</v>
      </c>
      <c r="C141" s="80" t="b">
        <f t="shared" si="66"/>
        <v>1</v>
      </c>
      <c r="D141" s="79" t="s">
        <v>737</v>
      </c>
      <c r="E141" s="81">
        <f t="shared" si="55"/>
        <v>1.0651315789473685</v>
      </c>
      <c r="F141" s="81">
        <v>1</v>
      </c>
      <c r="G141" s="81" t="s">
        <v>105</v>
      </c>
      <c r="H141" s="83" t="s">
        <v>219</v>
      </c>
      <c r="I141" s="82" t="s">
        <v>105</v>
      </c>
      <c r="J141" s="81">
        <f t="shared" si="63"/>
        <v>0</v>
      </c>
      <c r="K141" s="81" t="s">
        <v>105</v>
      </c>
      <c r="L141" s="83">
        <f t="shared" si="64"/>
        <v>10</v>
      </c>
      <c r="M141" s="83">
        <f t="shared" si="65"/>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6"/>
        <v>1</v>
      </c>
      <c r="C142" s="80" t="b">
        <f t="shared" si="66"/>
        <v>1</v>
      </c>
      <c r="D142" s="79" t="s">
        <v>682</v>
      </c>
      <c r="E142" s="81">
        <f t="shared" si="55"/>
        <v>1.0651315789473685</v>
      </c>
      <c r="F142" s="81">
        <v>1</v>
      </c>
      <c r="G142" s="81" t="s">
        <v>105</v>
      </c>
      <c r="H142" s="83" t="s">
        <v>219</v>
      </c>
      <c r="I142" s="82" t="s">
        <v>105</v>
      </c>
      <c r="J142" s="81">
        <f t="shared" si="63"/>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6"/>
        <v>1</v>
      </c>
      <c r="C143" s="80" t="b">
        <f t="shared" si="66"/>
        <v>1</v>
      </c>
      <c r="D143" s="79" t="s">
        <v>683</v>
      </c>
      <c r="E143" s="81">
        <f t="shared" si="55"/>
        <v>1.0651315789473685</v>
      </c>
      <c r="F143" s="81">
        <v>1</v>
      </c>
      <c r="G143" s="81" t="s">
        <v>105</v>
      </c>
      <c r="H143" s="83" t="s">
        <v>219</v>
      </c>
      <c r="I143" s="82" t="s">
        <v>105</v>
      </c>
      <c r="J143" s="81">
        <f t="shared" ref="J143" si="67">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6"/>
        <v>1</v>
      </c>
      <c r="C144" s="80" t="b">
        <f t="shared" si="66"/>
        <v>1</v>
      </c>
      <c r="D144" s="79" t="s">
        <v>722</v>
      </c>
      <c r="E144" s="81">
        <f t="shared" ref="E144:E145" si="68">inp_Uc/inp_Un</f>
        <v>1.0651315789473685</v>
      </c>
      <c r="F144" s="81">
        <v>1</v>
      </c>
      <c r="G144" s="81" t="s">
        <v>105</v>
      </c>
      <c r="H144" s="83" t="s">
        <v>219</v>
      </c>
      <c r="I144" s="82" t="s">
        <v>105</v>
      </c>
      <c r="J144" s="81">
        <f t="shared" ref="J144" si="69">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6"/>
        <v>1</v>
      </c>
      <c r="C145" s="80" t="b">
        <f t="shared" si="66"/>
        <v>1</v>
      </c>
      <c r="D145" s="79" t="s">
        <v>723</v>
      </c>
      <c r="E145" s="81">
        <f t="shared" si="68"/>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6"/>
        <v>1</v>
      </c>
      <c r="C146" s="80" t="b">
        <f t="shared" si="66"/>
        <v>1</v>
      </c>
      <c r="D146" s="79" t="s">
        <v>684</v>
      </c>
      <c r="E146" s="81">
        <f t="shared" ref="E146:E178" si="70">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1">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6"/>
        <v>1</v>
      </c>
      <c r="C147" s="80" t="b">
        <f t="shared" si="66"/>
        <v>1</v>
      </c>
      <c r="D147" s="79" t="s">
        <v>685</v>
      </c>
      <c r="E147" s="81">
        <f t="shared" si="70"/>
        <v>1.0651315789473685</v>
      </c>
      <c r="F147" s="81">
        <v>1</v>
      </c>
      <c r="G147" s="81" t="s">
        <v>105</v>
      </c>
      <c r="H147" s="83" t="s">
        <v>219</v>
      </c>
      <c r="I147" s="83" t="s">
        <v>110</v>
      </c>
      <c r="J147" s="81">
        <f t="shared" ref="J147" si="72">inp_Uc/inp_Un</f>
        <v>1.0651315789473685</v>
      </c>
      <c r="K147" s="81" t="s">
        <v>105</v>
      </c>
      <c r="L147" s="83">
        <v>-1</v>
      </c>
      <c r="M147" s="83">
        <v>0</v>
      </c>
      <c r="N147" s="83" t="s">
        <v>105</v>
      </c>
      <c r="O147" s="84"/>
      <c r="P147" s="89" t="s">
        <v>124</v>
      </c>
      <c r="Q147" s="89"/>
      <c r="R147" s="94" t="s">
        <v>125</v>
      </c>
      <c r="S147" s="94">
        <f t="shared" si="71"/>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6"/>
        <v>1</v>
      </c>
      <c r="C148" s="80" t="b">
        <f t="shared" si="66"/>
        <v>1</v>
      </c>
      <c r="D148" s="79" t="s">
        <v>686</v>
      </c>
      <c r="E148" s="81">
        <f t="shared" si="70"/>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1"/>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6"/>
        <v>1</v>
      </c>
      <c r="C149" s="80" t="b">
        <f t="shared" si="66"/>
        <v>1</v>
      </c>
      <c r="D149" s="79" t="s">
        <v>687</v>
      </c>
      <c r="E149" s="81">
        <f t="shared" si="70"/>
        <v>1.0651315789473685</v>
      </c>
      <c r="F149" s="81">
        <v>1</v>
      </c>
      <c r="G149" s="81" t="s">
        <v>105</v>
      </c>
      <c r="H149" s="83" t="s">
        <v>219</v>
      </c>
      <c r="I149" s="83" t="s">
        <v>110</v>
      </c>
      <c r="J149" s="81">
        <f t="shared" ref="J149:J151" si="73">inp_Uc/inp_Un</f>
        <v>1.0651315789473685</v>
      </c>
      <c r="K149" s="81" t="s">
        <v>105</v>
      </c>
      <c r="L149" s="83">
        <v>-1</v>
      </c>
      <c r="M149" s="83">
        <v>0</v>
      </c>
      <c r="N149" s="83" t="s">
        <v>105</v>
      </c>
      <c r="O149" s="84"/>
      <c r="P149" s="89" t="s">
        <v>124</v>
      </c>
      <c r="Q149" s="89"/>
      <c r="R149" s="94" t="s">
        <v>126</v>
      </c>
      <c r="S149" s="94">
        <f t="shared" si="71"/>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6"/>
        <v>1</v>
      </c>
      <c r="C150" s="80" t="b">
        <f t="shared" si="66"/>
        <v>1</v>
      </c>
      <c r="D150" s="79" t="s">
        <v>688</v>
      </c>
      <c r="E150" s="81">
        <f t="shared" si="70"/>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1"/>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6"/>
        <v>1</v>
      </c>
      <c r="C151" s="80" t="b">
        <f t="shared" si="66"/>
        <v>1</v>
      </c>
      <c r="D151" s="79" t="s">
        <v>689</v>
      </c>
      <c r="E151" s="81">
        <f t="shared" si="70"/>
        <v>1.0651315789473685</v>
      </c>
      <c r="F151" s="81">
        <v>1</v>
      </c>
      <c r="G151" s="81" t="s">
        <v>105</v>
      </c>
      <c r="H151" s="83" t="s">
        <v>219</v>
      </c>
      <c r="I151" s="83" t="s">
        <v>110</v>
      </c>
      <c r="J151" s="81">
        <f t="shared" si="73"/>
        <v>1.0651315789473685</v>
      </c>
      <c r="K151" s="81" t="s">
        <v>105</v>
      </c>
      <c r="L151" s="83">
        <v>-1</v>
      </c>
      <c r="M151" s="83">
        <v>0</v>
      </c>
      <c r="N151" s="83" t="s">
        <v>105</v>
      </c>
      <c r="O151" s="84"/>
      <c r="P151" s="89" t="s">
        <v>124</v>
      </c>
      <c r="Q151" s="89"/>
      <c r="R151" s="94" t="s">
        <v>338</v>
      </c>
      <c r="S151" s="94">
        <f t="shared" si="71"/>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6"/>
        <v>1</v>
      </c>
      <c r="C152" s="80" t="b">
        <f t="shared" si="66"/>
        <v>1</v>
      </c>
      <c r="D152" s="79" t="s">
        <v>690</v>
      </c>
      <c r="E152" s="81">
        <f t="shared" si="70"/>
        <v>1.0651315789473685</v>
      </c>
      <c r="F152" s="81">
        <v>1</v>
      </c>
      <c r="G152" s="81" t="s">
        <v>105</v>
      </c>
      <c r="H152" s="83" t="s">
        <v>219</v>
      </c>
      <c r="I152" s="82" t="s">
        <v>105</v>
      </c>
      <c r="J152" s="81">
        <v>0</v>
      </c>
      <c r="K152" s="81" t="s">
        <v>105</v>
      </c>
      <c r="L152" s="83">
        <f>inp_scr_min</f>
        <v>10</v>
      </c>
      <c r="M152" s="83">
        <f t="shared" ref="M152:M163" si="74">inp_xr_min</f>
        <v>10</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6"/>
        <v>1</v>
      </c>
      <c r="C153" s="80" t="b">
        <f t="shared" si="66"/>
        <v>1</v>
      </c>
      <c r="D153" s="79" t="s">
        <v>691</v>
      </c>
      <c r="E153" s="81">
        <f t="shared" si="70"/>
        <v>1.0651315789473685</v>
      </c>
      <c r="F153" s="81">
        <v>1</v>
      </c>
      <c r="G153" s="81" t="s">
        <v>105</v>
      </c>
      <c r="H153" s="83" t="s">
        <v>219</v>
      </c>
      <c r="I153" s="82" t="s">
        <v>105</v>
      </c>
      <c r="J153" s="81">
        <v>0</v>
      </c>
      <c r="K153" s="81" t="s">
        <v>105</v>
      </c>
      <c r="L153" s="83">
        <f>inp_scr_max</f>
        <v>30</v>
      </c>
      <c r="M153" s="83">
        <f>inp_xr_max</f>
        <v>20</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6"/>
        <v>1</v>
      </c>
      <c r="C154" s="80" t="b">
        <f t="shared" si="66"/>
        <v>1</v>
      </c>
      <c r="D154" s="79" t="s">
        <v>692</v>
      </c>
      <c r="E154" s="81">
        <f t="shared" si="70"/>
        <v>1.0651315789473685</v>
      </c>
      <c r="F154" s="81">
        <v>1</v>
      </c>
      <c r="G154" s="81" t="s">
        <v>105</v>
      </c>
      <c r="H154" s="83" t="s">
        <v>219</v>
      </c>
      <c r="I154" s="82" t="s">
        <v>105</v>
      </c>
      <c r="J154" s="81">
        <v>0</v>
      </c>
      <c r="K154" s="81" t="s">
        <v>105</v>
      </c>
      <c r="L154" s="83">
        <f>inp_scr_min</f>
        <v>10</v>
      </c>
      <c r="M154" s="83">
        <f t="shared" si="74"/>
        <v>10</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6"/>
        <v>1</v>
      </c>
      <c r="C155" s="80" t="b">
        <f t="shared" si="66"/>
        <v>1</v>
      </c>
      <c r="D155" s="79" t="s">
        <v>693</v>
      </c>
      <c r="E155" s="81">
        <f t="shared" si="70"/>
        <v>1.0651315789473685</v>
      </c>
      <c r="F155" s="81">
        <v>1</v>
      </c>
      <c r="G155" s="81" t="s">
        <v>105</v>
      </c>
      <c r="H155" s="83" t="s">
        <v>219</v>
      </c>
      <c r="I155" s="82" t="s">
        <v>105</v>
      </c>
      <c r="J155" s="81">
        <v>0</v>
      </c>
      <c r="K155" s="81" t="s">
        <v>105</v>
      </c>
      <c r="L155" s="83">
        <f>inp_scr_max</f>
        <v>30</v>
      </c>
      <c r="M155" s="83">
        <f>inp_xr_max</f>
        <v>20</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6"/>
        <v>1</v>
      </c>
      <c r="C156" s="80" t="b">
        <f t="shared" si="66"/>
        <v>1</v>
      </c>
      <c r="D156" s="79" t="s">
        <v>694</v>
      </c>
      <c r="E156" s="81">
        <f t="shared" si="70"/>
        <v>1.0651315789473685</v>
      </c>
      <c r="F156" s="81">
        <v>1</v>
      </c>
      <c r="G156" s="81" t="s">
        <v>105</v>
      </c>
      <c r="H156" s="83" t="s">
        <v>219</v>
      </c>
      <c r="I156" s="82" t="s">
        <v>105</v>
      </c>
      <c r="J156" s="81">
        <v>0</v>
      </c>
      <c r="K156" s="81" t="s">
        <v>105</v>
      </c>
      <c r="L156" s="83">
        <f>inp_scr_min</f>
        <v>10</v>
      </c>
      <c r="M156" s="83">
        <f t="shared" si="74"/>
        <v>10</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6"/>
        <v>1</v>
      </c>
      <c r="C157" s="80" t="b">
        <f t="shared" si="66"/>
        <v>1</v>
      </c>
      <c r="D157" s="79" t="s">
        <v>695</v>
      </c>
      <c r="E157" s="81">
        <f t="shared" si="70"/>
        <v>1.0651315789473685</v>
      </c>
      <c r="F157" s="81">
        <v>1</v>
      </c>
      <c r="G157" s="81" t="s">
        <v>105</v>
      </c>
      <c r="H157" s="83" t="s">
        <v>219</v>
      </c>
      <c r="I157" s="82" t="s">
        <v>105</v>
      </c>
      <c r="J157" s="81">
        <v>0</v>
      </c>
      <c r="K157" s="81" t="s">
        <v>105</v>
      </c>
      <c r="L157" s="83">
        <f>inp_scr_max</f>
        <v>30</v>
      </c>
      <c r="M157" s="83">
        <f>inp_xr_max</f>
        <v>20</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6"/>
        <v>1</v>
      </c>
      <c r="C158" s="80" t="b">
        <f t="shared" si="66"/>
        <v>1</v>
      </c>
      <c r="D158" s="79" t="s">
        <v>696</v>
      </c>
      <c r="E158" s="81">
        <f t="shared" si="70"/>
        <v>1.0651315789473685</v>
      </c>
      <c r="F158" s="81">
        <v>1</v>
      </c>
      <c r="G158" s="81" t="s">
        <v>105</v>
      </c>
      <c r="H158" s="83" t="s">
        <v>219</v>
      </c>
      <c r="I158" s="82" t="s">
        <v>105</v>
      </c>
      <c r="J158" s="81">
        <v>0</v>
      </c>
      <c r="K158" s="81" t="s">
        <v>105</v>
      </c>
      <c r="L158" s="83">
        <f>inp_scr_min</f>
        <v>10</v>
      </c>
      <c r="M158" s="83">
        <f t="shared" si="74"/>
        <v>10</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6"/>
        <v>1</v>
      </c>
      <c r="C159" s="80" t="b">
        <f t="shared" si="66"/>
        <v>1</v>
      </c>
      <c r="D159" s="79" t="s">
        <v>697</v>
      </c>
      <c r="E159" s="81">
        <f t="shared" si="70"/>
        <v>1.0651315789473685</v>
      </c>
      <c r="F159" s="81">
        <v>1</v>
      </c>
      <c r="G159" s="81" t="s">
        <v>105</v>
      </c>
      <c r="H159" s="83" t="s">
        <v>219</v>
      </c>
      <c r="I159" s="82" t="s">
        <v>105</v>
      </c>
      <c r="J159" s="81">
        <v>0</v>
      </c>
      <c r="K159" s="81" t="s">
        <v>105</v>
      </c>
      <c r="L159" s="83">
        <f>inp_scr_max</f>
        <v>30</v>
      </c>
      <c r="M159" s="83">
        <f>inp_xr_max</f>
        <v>20</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6"/>
        <v>1</v>
      </c>
      <c r="C160" s="80" t="b">
        <f t="shared" si="66"/>
        <v>1</v>
      </c>
      <c r="D160" s="79" t="s">
        <v>698</v>
      </c>
      <c r="E160" s="81">
        <f t="shared" si="70"/>
        <v>1.0651315789473685</v>
      </c>
      <c r="F160" s="81">
        <v>1</v>
      </c>
      <c r="G160" s="81" t="s">
        <v>105</v>
      </c>
      <c r="H160" s="83" t="s">
        <v>219</v>
      </c>
      <c r="I160" s="82" t="s">
        <v>105</v>
      </c>
      <c r="J160" s="81">
        <v>0</v>
      </c>
      <c r="K160" s="81" t="s">
        <v>105</v>
      </c>
      <c r="L160" s="83">
        <f>inp_scr_min</f>
        <v>10</v>
      </c>
      <c r="M160" s="83">
        <f t="shared" si="74"/>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6"/>
        <v>1</v>
      </c>
      <c r="C161" s="80" t="b">
        <f t="shared" si="66"/>
        <v>1</v>
      </c>
      <c r="D161" s="79" t="s">
        <v>699</v>
      </c>
      <c r="E161" s="81">
        <f t="shared" si="70"/>
        <v>1.0651315789473685</v>
      </c>
      <c r="F161" s="81">
        <v>1</v>
      </c>
      <c r="G161" s="81" t="s">
        <v>105</v>
      </c>
      <c r="H161" s="83" t="s">
        <v>219</v>
      </c>
      <c r="I161" s="82" t="s">
        <v>105</v>
      </c>
      <c r="J161" s="81">
        <v>0</v>
      </c>
      <c r="K161" s="81" t="s">
        <v>105</v>
      </c>
      <c r="L161" s="83">
        <f>inp_scr_min</f>
        <v>10</v>
      </c>
      <c r="M161" s="83">
        <f t="shared" si="74"/>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6"/>
        <v>1</v>
      </c>
      <c r="C162" s="80" t="b">
        <f t="shared" si="66"/>
        <v>1</v>
      </c>
      <c r="D162" s="79" t="s">
        <v>700</v>
      </c>
      <c r="E162" s="81">
        <f t="shared" si="70"/>
        <v>1.0651315789473685</v>
      </c>
      <c r="F162" s="81">
        <v>0.5</v>
      </c>
      <c r="G162" s="81">
        <v>0.5</v>
      </c>
      <c r="H162" s="83" t="s">
        <v>219</v>
      </c>
      <c r="I162" s="82" t="s">
        <v>105</v>
      </c>
      <c r="J162" s="81">
        <v>0</v>
      </c>
      <c r="K162" s="81" t="s">
        <v>105</v>
      </c>
      <c r="L162" s="83">
        <f>inp_scr_min</f>
        <v>10</v>
      </c>
      <c r="M162" s="83">
        <f t="shared" si="74"/>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6"/>
        <v>1</v>
      </c>
      <c r="C163" s="80" t="b">
        <f t="shared" si="66"/>
        <v>1</v>
      </c>
      <c r="D163" s="79" t="s">
        <v>701</v>
      </c>
      <c r="E163" s="81">
        <f t="shared" si="70"/>
        <v>1.0651315789473685</v>
      </c>
      <c r="F163" s="81">
        <v>0.5</v>
      </c>
      <c r="G163" s="81">
        <v>0.5</v>
      </c>
      <c r="H163" s="83" t="s">
        <v>219</v>
      </c>
      <c r="I163" s="82" t="s">
        <v>105</v>
      </c>
      <c r="J163" s="81">
        <v>0</v>
      </c>
      <c r="K163" s="81" t="s">
        <v>105</v>
      </c>
      <c r="L163" s="83">
        <f>inp_scr_min</f>
        <v>10</v>
      </c>
      <c r="M163" s="83">
        <f t="shared" si="74"/>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6"/>
        <v>1</v>
      </c>
      <c r="C164" s="80" t="b">
        <f t="shared" si="66"/>
        <v>1</v>
      </c>
      <c r="D164" s="79" t="s">
        <v>702</v>
      </c>
      <c r="E164" s="81">
        <f t="shared" si="70"/>
        <v>1.0651315789473685</v>
      </c>
      <c r="F164" s="81">
        <v>1</v>
      </c>
      <c r="G164" s="81" t="s">
        <v>105</v>
      </c>
      <c r="H164" s="83" t="s">
        <v>219</v>
      </c>
      <c r="I164" s="82" t="s">
        <v>21</v>
      </c>
      <c r="J164" s="81">
        <v>0</v>
      </c>
      <c r="K164" s="81" t="s">
        <v>105</v>
      </c>
      <c r="L164" s="83">
        <f t="shared" ref="L164:L168" si="75">inp_scr_min</f>
        <v>10</v>
      </c>
      <c r="M164" s="83">
        <f t="shared" ref="M164:M168" si="76">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6"/>
        <v>1</v>
      </c>
      <c r="C165" s="80" t="b">
        <f t="shared" si="66"/>
        <v>1</v>
      </c>
      <c r="D165" s="79" t="s">
        <v>703</v>
      </c>
      <c r="E165" s="81">
        <f t="shared" si="70"/>
        <v>1.0651315789473685</v>
      </c>
      <c r="F165" s="81">
        <v>1</v>
      </c>
      <c r="G165" s="81" t="s">
        <v>105</v>
      </c>
      <c r="H165" s="83" t="s">
        <v>219</v>
      </c>
      <c r="I165" s="82" t="s">
        <v>21</v>
      </c>
      <c r="J165" s="81">
        <v>0</v>
      </c>
      <c r="K165" s="81" t="s">
        <v>105</v>
      </c>
      <c r="L165" s="83">
        <f t="shared" si="75"/>
        <v>10</v>
      </c>
      <c r="M165" s="83">
        <f t="shared" si="76"/>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6"/>
        <v>1</v>
      </c>
      <c r="C166" s="80" t="b">
        <f t="shared" si="66"/>
        <v>1</v>
      </c>
      <c r="D166" s="79" t="s">
        <v>704</v>
      </c>
      <c r="E166" s="81">
        <f t="shared" si="70"/>
        <v>1.0651315789473685</v>
      </c>
      <c r="F166" s="81">
        <v>1</v>
      </c>
      <c r="G166" s="81" t="s">
        <v>105</v>
      </c>
      <c r="H166" s="83" t="s">
        <v>219</v>
      </c>
      <c r="I166" s="82" t="s">
        <v>21</v>
      </c>
      <c r="J166" s="81">
        <v>0</v>
      </c>
      <c r="K166" s="81" t="s">
        <v>105</v>
      </c>
      <c r="L166" s="83">
        <f t="shared" si="75"/>
        <v>10</v>
      </c>
      <c r="M166" s="83">
        <f t="shared" si="76"/>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6"/>
        <v>1</v>
      </c>
      <c r="C167" s="80" t="b">
        <f t="shared" si="66"/>
        <v>1</v>
      </c>
      <c r="D167" s="79" t="s">
        <v>705</v>
      </c>
      <c r="E167" s="81">
        <f t="shared" si="70"/>
        <v>1.0651315789473685</v>
      </c>
      <c r="F167" s="81">
        <v>1</v>
      </c>
      <c r="G167" s="81" t="s">
        <v>105</v>
      </c>
      <c r="H167" s="83" t="s">
        <v>219</v>
      </c>
      <c r="I167" s="82" t="s">
        <v>21</v>
      </c>
      <c r="J167" s="81">
        <v>0</v>
      </c>
      <c r="K167" s="81" t="s">
        <v>105</v>
      </c>
      <c r="L167" s="83">
        <f t="shared" si="75"/>
        <v>10</v>
      </c>
      <c r="M167" s="83">
        <f t="shared" si="76"/>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77">inp_Un&gt;=110</f>
        <v>1</v>
      </c>
      <c r="C168" s="80" t="b">
        <f t="shared" si="77"/>
        <v>1</v>
      </c>
      <c r="D168" s="79" t="s">
        <v>706</v>
      </c>
      <c r="E168" s="81">
        <f t="shared" si="70"/>
        <v>1.0651315789473685</v>
      </c>
      <c r="F168" s="81">
        <v>1</v>
      </c>
      <c r="G168" s="81" t="s">
        <v>105</v>
      </c>
      <c r="H168" s="83" t="s">
        <v>219</v>
      </c>
      <c r="I168" s="82" t="s">
        <v>21</v>
      </c>
      <c r="J168" s="81">
        <v>0</v>
      </c>
      <c r="K168" s="81" t="s">
        <v>105</v>
      </c>
      <c r="L168" s="83">
        <f t="shared" si="75"/>
        <v>10</v>
      </c>
      <c r="M168" s="83">
        <f t="shared" si="76"/>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77"/>
        <v>1</v>
      </c>
      <c r="C169" s="80" t="b">
        <f t="shared" si="77"/>
        <v>1</v>
      </c>
      <c r="D169" s="79" t="s">
        <v>707</v>
      </c>
      <c r="E169" s="81">
        <f t="shared" si="70"/>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77"/>
        <v>1</v>
      </c>
      <c r="C170" s="80" t="b">
        <f t="shared" si="77"/>
        <v>1</v>
      </c>
      <c r="D170" s="79" t="s">
        <v>708</v>
      </c>
      <c r="E170" s="81">
        <f t="shared" si="70"/>
        <v>1.0651315789473685</v>
      </c>
      <c r="F170" s="81">
        <v>1</v>
      </c>
      <c r="G170" s="81" t="s">
        <v>105</v>
      </c>
      <c r="H170" s="83" t="s">
        <v>219</v>
      </c>
      <c r="I170" s="82" t="s">
        <v>21</v>
      </c>
      <c r="J170" s="81">
        <v>0</v>
      </c>
      <c r="K170" s="81" t="s">
        <v>105</v>
      </c>
      <c r="L170" s="83">
        <f t="shared" ref="L170:L177" si="78">inp_scr_min</f>
        <v>10</v>
      </c>
      <c r="M170" s="83">
        <f t="shared" ref="M170:M178" si="79">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77"/>
        <v>1</v>
      </c>
      <c r="C171" s="80" t="b">
        <f t="shared" si="77"/>
        <v>1</v>
      </c>
      <c r="D171" s="79" t="s">
        <v>709</v>
      </c>
      <c r="E171" s="81">
        <f t="shared" si="70"/>
        <v>1.0651315789473685</v>
      </c>
      <c r="F171" s="81">
        <v>1</v>
      </c>
      <c r="G171" s="81" t="s">
        <v>105</v>
      </c>
      <c r="H171" s="83" t="s">
        <v>219</v>
      </c>
      <c r="I171" s="82" t="s">
        <v>21</v>
      </c>
      <c r="J171" s="81">
        <v>0</v>
      </c>
      <c r="K171" s="81" t="s">
        <v>105</v>
      </c>
      <c r="L171" s="83">
        <f t="shared" si="78"/>
        <v>10</v>
      </c>
      <c r="M171" s="83">
        <f t="shared" si="79"/>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77"/>
        <v>1</v>
      </c>
      <c r="C172" s="80" t="b">
        <f t="shared" si="77"/>
        <v>1</v>
      </c>
      <c r="D172" s="79" t="s">
        <v>710</v>
      </c>
      <c r="E172" s="81">
        <f t="shared" si="70"/>
        <v>1.0651315789473685</v>
      </c>
      <c r="F172" s="81">
        <v>1</v>
      </c>
      <c r="G172" s="81" t="s">
        <v>105</v>
      </c>
      <c r="H172" s="83" t="s">
        <v>219</v>
      </c>
      <c r="I172" s="82" t="s">
        <v>21</v>
      </c>
      <c r="J172" s="81">
        <v>0</v>
      </c>
      <c r="K172" s="81" t="s">
        <v>105</v>
      </c>
      <c r="L172" s="83">
        <f t="shared" si="78"/>
        <v>10</v>
      </c>
      <c r="M172" s="83">
        <f t="shared" si="79"/>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77"/>
        <v>1</v>
      </c>
      <c r="C173" s="80" t="b">
        <f t="shared" si="77"/>
        <v>1</v>
      </c>
      <c r="D173" s="79" t="s">
        <v>711</v>
      </c>
      <c r="E173" s="81">
        <f t="shared" si="70"/>
        <v>1.0651315789473685</v>
      </c>
      <c r="F173" s="81">
        <v>1</v>
      </c>
      <c r="G173" s="81" t="s">
        <v>105</v>
      </c>
      <c r="H173" s="83" t="s">
        <v>219</v>
      </c>
      <c r="I173" s="82" t="s">
        <v>21</v>
      </c>
      <c r="J173" s="81">
        <v>0</v>
      </c>
      <c r="K173" s="81" t="s">
        <v>105</v>
      </c>
      <c r="L173" s="83">
        <f t="shared" si="78"/>
        <v>10</v>
      </c>
      <c r="M173" s="83">
        <f t="shared" si="79"/>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77"/>
        <v>1</v>
      </c>
      <c r="C174" s="80" t="b">
        <f t="shared" si="77"/>
        <v>1</v>
      </c>
      <c r="D174" s="79" t="s">
        <v>712</v>
      </c>
      <c r="E174" s="81">
        <f t="shared" si="70"/>
        <v>1.0651315789473685</v>
      </c>
      <c r="F174" s="81">
        <v>0.7</v>
      </c>
      <c r="G174" s="81" t="s">
        <v>105</v>
      </c>
      <c r="H174" s="83" t="s">
        <v>219</v>
      </c>
      <c r="I174" s="82" t="s">
        <v>21</v>
      </c>
      <c r="J174" s="81">
        <v>0</v>
      </c>
      <c r="K174" s="81" t="s">
        <v>105</v>
      </c>
      <c r="L174" s="83">
        <f t="shared" si="78"/>
        <v>10</v>
      </c>
      <c r="M174" s="83">
        <f t="shared" si="79"/>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77"/>
        <v>1</v>
      </c>
      <c r="C175" s="80" t="b">
        <f t="shared" si="77"/>
        <v>1</v>
      </c>
      <c r="D175" s="79" t="s">
        <v>713</v>
      </c>
      <c r="E175" s="81">
        <f t="shared" si="70"/>
        <v>1.0651315789473685</v>
      </c>
      <c r="F175" s="81">
        <v>0.7</v>
      </c>
      <c r="G175" s="81" t="s">
        <v>105</v>
      </c>
      <c r="H175" s="83" t="s">
        <v>219</v>
      </c>
      <c r="I175" s="82" t="s">
        <v>21</v>
      </c>
      <c r="J175" s="81">
        <v>0</v>
      </c>
      <c r="K175" s="81" t="s">
        <v>105</v>
      </c>
      <c r="L175" s="83">
        <f t="shared" si="78"/>
        <v>10</v>
      </c>
      <c r="M175" s="83">
        <f t="shared" si="79"/>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77"/>
        <v>1</v>
      </c>
      <c r="C176" s="80" t="b">
        <f t="shared" si="77"/>
        <v>1</v>
      </c>
      <c r="D176" s="79" t="s">
        <v>714</v>
      </c>
      <c r="E176" s="81">
        <f t="shared" si="70"/>
        <v>1.0651315789473685</v>
      </c>
      <c r="F176" s="81">
        <v>0.7</v>
      </c>
      <c r="G176" s="81" t="s">
        <v>105</v>
      </c>
      <c r="H176" s="83" t="s">
        <v>219</v>
      </c>
      <c r="I176" s="82" t="s">
        <v>21</v>
      </c>
      <c r="J176" s="81">
        <v>0</v>
      </c>
      <c r="K176" s="81" t="s">
        <v>105</v>
      </c>
      <c r="L176" s="83">
        <f t="shared" si="78"/>
        <v>10</v>
      </c>
      <c r="M176" s="83">
        <f t="shared" si="79"/>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77"/>
        <v>1</v>
      </c>
      <c r="C177" s="80" t="b">
        <f t="shared" si="77"/>
        <v>1</v>
      </c>
      <c r="D177" s="79" t="s">
        <v>728</v>
      </c>
      <c r="E177" s="81">
        <f t="shared" si="70"/>
        <v>1.0651315789473685</v>
      </c>
      <c r="F177" s="81">
        <v>0.7</v>
      </c>
      <c r="G177" s="81" t="s">
        <v>105</v>
      </c>
      <c r="H177" s="83" t="s">
        <v>219</v>
      </c>
      <c r="I177" s="82" t="s">
        <v>21</v>
      </c>
      <c r="J177" s="81">
        <v>0</v>
      </c>
      <c r="K177" s="81" t="s">
        <v>105</v>
      </c>
      <c r="L177" s="83">
        <f t="shared" si="78"/>
        <v>10</v>
      </c>
      <c r="M177" s="83">
        <f t="shared" si="79"/>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77"/>
        <v>1</v>
      </c>
      <c r="C178" s="80" t="b">
        <f t="shared" si="77"/>
        <v>1</v>
      </c>
      <c r="D178" s="79" t="s">
        <v>715</v>
      </c>
      <c r="E178" s="81">
        <f t="shared" si="70"/>
        <v>1.0651315789473685</v>
      </c>
      <c r="F178" s="81">
        <v>1</v>
      </c>
      <c r="G178" s="81" t="s">
        <v>105</v>
      </c>
      <c r="H178" s="83" t="s">
        <v>219</v>
      </c>
      <c r="I178" s="82" t="s">
        <v>21</v>
      </c>
      <c r="J178" s="81">
        <v>0</v>
      </c>
      <c r="K178" s="81" t="s">
        <v>105</v>
      </c>
      <c r="L178" s="83">
        <f>inp_scr_min</f>
        <v>10</v>
      </c>
      <c r="M178" s="83">
        <f t="shared" si="79"/>
        <v>10</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51"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91" t="s">
        <v>492</v>
      </c>
      <c r="B1" s="391"/>
      <c r="C1" s="391"/>
      <c r="D1" s="391"/>
      <c r="E1" s="392" t="s">
        <v>493</v>
      </c>
      <c r="F1" s="393"/>
      <c r="G1" s="393"/>
      <c r="H1" s="393"/>
      <c r="I1" s="393"/>
      <c r="J1" s="393"/>
      <c r="K1" s="393"/>
      <c r="L1" s="393"/>
      <c r="M1" s="393"/>
      <c r="N1" s="394"/>
      <c r="O1" s="398" t="s">
        <v>77</v>
      </c>
      <c r="P1" s="399"/>
      <c r="Q1" s="399"/>
      <c r="R1" s="400"/>
      <c r="S1" s="392" t="s">
        <v>78</v>
      </c>
      <c r="T1" s="393"/>
      <c r="U1" s="393"/>
      <c r="V1" s="393"/>
      <c r="W1" s="398" t="s">
        <v>79</v>
      </c>
      <c r="X1" s="399"/>
      <c r="Y1" s="399"/>
      <c r="Z1" s="400"/>
      <c r="AA1" s="395" t="s">
        <v>80</v>
      </c>
      <c r="AB1" s="396"/>
      <c r="AC1" s="396"/>
      <c r="AD1" s="397"/>
      <c r="AE1" s="398" t="s">
        <v>81</v>
      </c>
      <c r="AF1" s="399"/>
      <c r="AG1" s="399"/>
      <c r="AH1" s="400"/>
      <c r="AI1" s="395" t="s">
        <v>82</v>
      </c>
      <c r="AJ1" s="396"/>
      <c r="AK1" s="396"/>
      <c r="AL1" s="397"/>
      <c r="AM1" s="398" t="s">
        <v>83</v>
      </c>
      <c r="AN1" s="399"/>
      <c r="AO1" s="399"/>
      <c r="AP1" s="400"/>
      <c r="AQ1" s="395" t="s">
        <v>84</v>
      </c>
      <c r="AR1" s="396"/>
      <c r="AS1" s="396"/>
      <c r="AT1" s="397"/>
      <c r="AU1" s="398" t="s">
        <v>85</v>
      </c>
      <c r="AV1" s="399"/>
      <c r="AW1" s="399"/>
      <c r="AX1" s="400"/>
      <c r="AY1" s="395" t="s">
        <v>86</v>
      </c>
      <c r="AZ1" s="396"/>
      <c r="BA1" s="396"/>
      <c r="BB1" s="397"/>
      <c r="BC1" s="398" t="s">
        <v>87</v>
      </c>
      <c r="BD1" s="399"/>
      <c r="BE1" s="399"/>
      <c r="BF1" s="400"/>
      <c r="BG1" s="395" t="s">
        <v>88</v>
      </c>
      <c r="BH1" s="396"/>
      <c r="BI1" s="396"/>
      <c r="BJ1" s="397"/>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2"/>
      <c r="Q3" s="262"/>
    </row>
    <row r="4" spans="1:94" x14ac:dyDescent="0.25">
      <c r="A4" s="118">
        <v>1002</v>
      </c>
      <c r="B4" s="11" t="b">
        <v>1</v>
      </c>
      <c r="C4" s="117" t="b">
        <v>1</v>
      </c>
      <c r="D4" s="118" t="s">
        <v>844</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25">
      <c r="A5" s="118">
        <v>1003</v>
      </c>
      <c r="B5" s="11" t="b">
        <v>1</v>
      </c>
      <c r="C5" s="117" t="b">
        <v>1</v>
      </c>
      <c r="D5" s="118" t="s">
        <v>845</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25">
      <c r="A6" s="118">
        <v>1004</v>
      </c>
      <c r="B6" s="11" t="b">
        <v>1</v>
      </c>
      <c r="C6" s="117" t="b">
        <v>1</v>
      </c>
      <c r="D6" s="118" t="s">
        <v>846</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25">
      <c r="A7" s="118">
        <v>1005</v>
      </c>
      <c r="B7" s="11" t="b">
        <v>1</v>
      </c>
      <c r="C7" s="117" t="b">
        <v>1</v>
      </c>
      <c r="D7" s="118" t="s">
        <v>847</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25">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25">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25">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25">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25">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25">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25">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25">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25">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25">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25">
      <c r="A20" s="118">
        <v>1018</v>
      </c>
      <c r="B20" s="11" t="b">
        <v>1</v>
      </c>
      <c r="C20" s="11" t="b">
        <v>1</v>
      </c>
      <c r="D20" s="1" t="s">
        <v>739</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25">
      <c r="A21" s="118">
        <v>1019</v>
      </c>
      <c r="B21" s="11" t="b">
        <v>1</v>
      </c>
      <c r="C21" s="11" t="b">
        <v>1</v>
      </c>
      <c r="D21" s="1" t="s">
        <v>740</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25">
      <c r="A22" s="118">
        <v>1020</v>
      </c>
      <c r="B22" s="11" t="b">
        <v>1</v>
      </c>
      <c r="C22" s="11" t="b">
        <v>1</v>
      </c>
      <c r="D22" s="1" t="s">
        <v>741</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25">
      <c r="A23" s="118">
        <v>1021</v>
      </c>
      <c r="B23" s="11" t="b">
        <v>1</v>
      </c>
      <c r="C23" s="11" t="b">
        <v>1</v>
      </c>
      <c r="D23" s="1" t="s">
        <v>742</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25">
      <c r="A24" s="118">
        <v>1022</v>
      </c>
      <c r="B24" s="11" t="b">
        <v>1</v>
      </c>
      <c r="C24" s="11" t="b">
        <v>1</v>
      </c>
      <c r="D24" s="1" t="s">
        <v>743</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25">
      <c r="A25" s="118">
        <v>1023</v>
      </c>
      <c r="B25" s="11" t="b">
        <v>1</v>
      </c>
      <c r="C25" s="11" t="b">
        <v>1</v>
      </c>
      <c r="D25" s="1" t="s">
        <v>744</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25">
      <c r="A26" s="118">
        <v>1024</v>
      </c>
      <c r="B26" s="11" t="b">
        <v>1</v>
      </c>
      <c r="C26" s="11" t="b">
        <v>1</v>
      </c>
      <c r="D26" s="1" t="s">
        <v>745</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25">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25">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25">
      <c r="A29" s="118">
        <v>1027</v>
      </c>
      <c r="B29" s="11" t="b">
        <v>1</v>
      </c>
      <c r="C29" s="11" t="b">
        <v>1</v>
      </c>
      <c r="D29" s="1" t="s">
        <v>746</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25">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25">
      <c r="A33" s="118">
        <v>1031</v>
      </c>
      <c r="B33" s="11" t="b">
        <v>1</v>
      </c>
      <c r="C33" s="11" t="b">
        <v>1</v>
      </c>
      <c r="D33" s="1" t="s">
        <v>749</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25">
      <c r="A34" s="118">
        <v>1032</v>
      </c>
      <c r="B34" s="11" t="b">
        <v>1</v>
      </c>
      <c r="C34" s="11" t="b">
        <v>1</v>
      </c>
      <c r="D34" s="1" t="s">
        <v>750</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25">
      <c r="A35" s="118">
        <v>1033</v>
      </c>
      <c r="B35" s="11" t="b">
        <v>1</v>
      </c>
      <c r="C35" s="11" t="b">
        <v>1</v>
      </c>
      <c r="D35" s="1" t="s">
        <v>751</v>
      </c>
      <c r="E35" s="5">
        <f t="shared" si="3"/>
        <v>1.0651315789473685</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25">
      <c r="A36" s="118">
        <v>1034</v>
      </c>
      <c r="B36" s="11" t="b">
        <v>1</v>
      </c>
      <c r="C36" s="11" t="b">
        <v>1</v>
      </c>
      <c r="D36" s="1" t="s">
        <v>752</v>
      </c>
      <c r="E36" s="5">
        <f t="shared" si="3"/>
        <v>1.0651315789473685</v>
      </c>
      <c r="F36" s="5">
        <v>1</v>
      </c>
      <c r="G36" s="21" t="s">
        <v>218</v>
      </c>
      <c r="H36" s="20" t="s">
        <v>105</v>
      </c>
      <c r="I36" s="5">
        <f t="shared" si="8"/>
        <v>0</v>
      </c>
      <c r="J36" s="5" t="s">
        <v>105</v>
      </c>
      <c r="K36" s="21">
        <v>-1</v>
      </c>
      <c r="L36" s="21">
        <v>0</v>
      </c>
      <c r="M36" s="21" t="s">
        <v>105</v>
      </c>
      <c r="N36" s="22"/>
      <c r="O36" s="88" t="s">
        <v>124</v>
      </c>
      <c r="P36" s="88"/>
      <c r="Q36" s="256" t="s">
        <v>338</v>
      </c>
      <c r="R36" s="256">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25">
      <c r="A37" s="118">
        <v>1035</v>
      </c>
      <c r="B37" s="11" t="b">
        <v>1</v>
      </c>
      <c r="C37" s="11" t="b">
        <v>1</v>
      </c>
      <c r="D37" s="1" t="s">
        <v>833</v>
      </c>
      <c r="E37" s="5">
        <f t="shared" si="3"/>
        <v>1.0651315789473685</v>
      </c>
      <c r="F37" s="5">
        <v>1</v>
      </c>
      <c r="G37" s="21" t="s">
        <v>218</v>
      </c>
      <c r="H37" s="20" t="s">
        <v>105</v>
      </c>
      <c r="I37" s="5">
        <v>0</v>
      </c>
      <c r="J37" s="5" t="s">
        <v>105</v>
      </c>
      <c r="K37" s="21">
        <f>inp_scr_min</f>
        <v>10</v>
      </c>
      <c r="L37" s="21">
        <f t="shared" ref="L37:L43" si="14">inp_xr_min</f>
        <v>10</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25">
      <c r="A38" s="118">
        <v>1036</v>
      </c>
      <c r="B38" s="11" t="b">
        <v>1</v>
      </c>
      <c r="C38" s="11" t="b">
        <v>1</v>
      </c>
      <c r="D38" s="1" t="s">
        <v>834</v>
      </c>
      <c r="E38" s="5">
        <f t="shared" si="3"/>
        <v>1.0651315789473685</v>
      </c>
      <c r="F38" s="5">
        <v>1</v>
      </c>
      <c r="G38" s="21" t="s">
        <v>218</v>
      </c>
      <c r="H38" s="20" t="s">
        <v>105</v>
      </c>
      <c r="I38" s="5">
        <v>0</v>
      </c>
      <c r="J38" s="5" t="s">
        <v>105</v>
      </c>
      <c r="K38" s="21">
        <f>inp_scr_max</f>
        <v>30</v>
      </c>
      <c r="L38" s="21">
        <f>inp_xr_max</f>
        <v>20</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25">
      <c r="A39" s="118">
        <v>1037</v>
      </c>
      <c r="B39" s="11" t="b">
        <v>1</v>
      </c>
      <c r="C39" s="11" t="b">
        <v>1</v>
      </c>
      <c r="D39" s="1" t="s">
        <v>835</v>
      </c>
      <c r="E39" s="5">
        <f t="shared" si="3"/>
        <v>1.0651315789473685</v>
      </c>
      <c r="F39" s="5">
        <v>1</v>
      </c>
      <c r="G39" s="21" t="s">
        <v>218</v>
      </c>
      <c r="H39" s="20" t="s">
        <v>105</v>
      </c>
      <c r="I39" s="5">
        <v>0</v>
      </c>
      <c r="J39" s="5" t="s">
        <v>105</v>
      </c>
      <c r="K39" s="21">
        <f>inp_scr_min</f>
        <v>10</v>
      </c>
      <c r="L39" s="21">
        <f t="shared" si="14"/>
        <v>10</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25">
      <c r="A40" s="118">
        <v>1038</v>
      </c>
      <c r="B40" s="11" t="b">
        <v>1</v>
      </c>
      <c r="C40" s="11" t="b">
        <v>1</v>
      </c>
      <c r="D40" s="1" t="s">
        <v>836</v>
      </c>
      <c r="E40" s="5">
        <f t="shared" si="3"/>
        <v>1.0651315789473685</v>
      </c>
      <c r="F40" s="5">
        <v>1</v>
      </c>
      <c r="G40" s="21" t="s">
        <v>218</v>
      </c>
      <c r="H40" s="20" t="s">
        <v>105</v>
      </c>
      <c r="I40" s="5">
        <v>0</v>
      </c>
      <c r="J40" s="5" t="s">
        <v>105</v>
      </c>
      <c r="K40" s="21">
        <f>inp_scr_max</f>
        <v>30</v>
      </c>
      <c r="L40" s="21">
        <f>inp_xr_max</f>
        <v>20</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25">
      <c r="A41" s="118">
        <v>1039</v>
      </c>
      <c r="B41" s="11" t="b">
        <v>1</v>
      </c>
      <c r="C41" s="11" t="b">
        <v>1</v>
      </c>
      <c r="D41" s="1" t="s">
        <v>837</v>
      </c>
      <c r="E41" s="5">
        <f t="shared" si="3"/>
        <v>1.0651315789473685</v>
      </c>
      <c r="F41" s="5">
        <v>1</v>
      </c>
      <c r="G41" s="21" t="s">
        <v>218</v>
      </c>
      <c r="H41" s="20" t="s">
        <v>105</v>
      </c>
      <c r="I41" s="5">
        <v>0</v>
      </c>
      <c r="J41" s="5" t="s">
        <v>105</v>
      </c>
      <c r="K41" s="21">
        <f>inp_scr_min</f>
        <v>10</v>
      </c>
      <c r="L41" s="21">
        <f t="shared" si="14"/>
        <v>10</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25">
      <c r="A42" s="118">
        <v>1040</v>
      </c>
      <c r="B42" s="11" t="b">
        <v>1</v>
      </c>
      <c r="C42" s="11" t="b">
        <v>1</v>
      </c>
      <c r="D42" s="1" t="s">
        <v>838</v>
      </c>
      <c r="E42" s="5">
        <f t="shared" si="3"/>
        <v>1.0651315789473685</v>
      </c>
      <c r="F42" s="5">
        <v>1</v>
      </c>
      <c r="G42" s="21" t="s">
        <v>218</v>
      </c>
      <c r="H42" s="20" t="s">
        <v>105</v>
      </c>
      <c r="I42" s="5">
        <v>0</v>
      </c>
      <c r="J42" s="5" t="s">
        <v>105</v>
      </c>
      <c r="K42" s="21">
        <f>inp_scr_max</f>
        <v>30</v>
      </c>
      <c r="L42" s="21">
        <f>inp_xr_max</f>
        <v>20</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25">
      <c r="A43" s="118">
        <v>1041</v>
      </c>
      <c r="B43" s="11" t="b">
        <v>1</v>
      </c>
      <c r="C43" s="11" t="b">
        <v>1</v>
      </c>
      <c r="D43" s="1" t="s">
        <v>839</v>
      </c>
      <c r="E43" s="5">
        <f t="shared" si="3"/>
        <v>1.0651315789473685</v>
      </c>
      <c r="F43" s="5">
        <v>1</v>
      </c>
      <c r="G43" s="21" t="s">
        <v>218</v>
      </c>
      <c r="H43" s="20" t="s">
        <v>105</v>
      </c>
      <c r="I43" s="5">
        <v>0</v>
      </c>
      <c r="J43" s="5" t="s">
        <v>105</v>
      </c>
      <c r="K43" s="21">
        <f>inp_scr_min</f>
        <v>10</v>
      </c>
      <c r="L43" s="21">
        <f t="shared" si="14"/>
        <v>10</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25">
      <c r="A44" s="118">
        <v>1042</v>
      </c>
      <c r="B44" s="11" t="b">
        <v>1</v>
      </c>
      <c r="C44" s="11" t="b">
        <v>1</v>
      </c>
      <c r="D44" s="1" t="s">
        <v>840</v>
      </c>
      <c r="E44" s="5">
        <f t="shared" si="3"/>
        <v>1.0651315789473685</v>
      </c>
      <c r="F44" s="5">
        <v>1</v>
      </c>
      <c r="G44" s="21" t="s">
        <v>218</v>
      </c>
      <c r="H44" s="20" t="s">
        <v>105</v>
      </c>
      <c r="I44" s="5">
        <v>0</v>
      </c>
      <c r="J44" s="5" t="s">
        <v>105</v>
      </c>
      <c r="K44" s="21">
        <f>inp_scr_max</f>
        <v>30</v>
      </c>
      <c r="L44" s="21">
        <f>inp_xr_max</f>
        <v>20</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25">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25">
      <c r="A46" s="118">
        <v>1044</v>
      </c>
      <c r="B46" s="11" t="b">
        <v>1</v>
      </c>
      <c r="C46" s="11" t="b">
        <v>1</v>
      </c>
      <c r="D46" s="1" t="s">
        <v>753</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25">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25">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25">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25">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25">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25">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25">
      <c r="A53" s="118">
        <v>1051</v>
      </c>
      <c r="B53" s="11" t="b">
        <v>1</v>
      </c>
      <c r="C53" s="11" t="b">
        <v>1</v>
      </c>
      <c r="D53" s="1" t="s">
        <v>754</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25">
      <c r="A54" s="118">
        <v>1052</v>
      </c>
      <c r="B54" s="11" t="b">
        <v>1</v>
      </c>
      <c r="C54" s="11" t="b">
        <v>1</v>
      </c>
      <c r="D54" s="1" t="s">
        <v>755</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25">
      <c r="A55" s="118">
        <v>1053</v>
      </c>
      <c r="B55" s="11" t="b">
        <v>1</v>
      </c>
      <c r="C55" s="11" t="b">
        <v>1</v>
      </c>
      <c r="D55" s="1" t="s">
        <v>756</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25">
      <c r="A56" s="118">
        <v>1054</v>
      </c>
      <c r="B56" s="11" t="b">
        <v>1</v>
      </c>
      <c r="C56" s="11" t="b">
        <v>1</v>
      </c>
      <c r="D56" s="1" t="s">
        <v>757</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25">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25">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25">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25">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25">
      <c r="A61" s="118">
        <v>1059</v>
      </c>
      <c r="B61" s="11" t="b">
        <v>1</v>
      </c>
      <c r="C61" s="11" t="b">
        <v>1</v>
      </c>
      <c r="D61" s="1" t="s">
        <v>793</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25">
      <c r="A62" s="118">
        <v>1060</v>
      </c>
      <c r="B62" s="11" t="b">
        <v>1</v>
      </c>
      <c r="C62" s="11" t="b">
        <v>1</v>
      </c>
      <c r="D62" s="1" t="s">
        <v>758</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 customHeight="1" x14ac:dyDescent="0.25">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25">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25">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25">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25">
      <c r="A70" s="118">
        <v>1068</v>
      </c>
      <c r="B70" s="11" t="b">
        <v>1</v>
      </c>
      <c r="C70" s="11" t="b">
        <v>1</v>
      </c>
      <c r="D70" s="1" t="s">
        <v>759</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25">
      <c r="A71" s="118">
        <v>1069</v>
      </c>
      <c r="B71" s="11" t="b">
        <v>1</v>
      </c>
      <c r="C71" s="11" t="b">
        <v>1</v>
      </c>
      <c r="D71" s="1" t="s">
        <v>760</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 customHeight="1" x14ac:dyDescent="0.25">
      <c r="A72" s="118">
        <v>1070</v>
      </c>
      <c r="B72" s="11" t="b">
        <v>1</v>
      </c>
      <c r="C72" s="11" t="b">
        <v>1</v>
      </c>
      <c r="D72" s="1" t="s">
        <v>761</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25">
      <c r="A73" s="118">
        <v>1071</v>
      </c>
      <c r="B73" s="11" t="b">
        <v>1</v>
      </c>
      <c r="C73" s="11" t="b">
        <v>1</v>
      </c>
      <c r="D73" s="1" t="s">
        <v>762</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2"/>
    </row>
    <row r="74" spans="1:62" x14ac:dyDescent="0.25">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L75"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25">
      <c r="A75" s="118">
        <v>1073</v>
      </c>
      <c r="B75" s="11" t="b">
        <v>1</v>
      </c>
      <c r="C75" s="11" t="b">
        <v>1</v>
      </c>
      <c r="D75" s="1" t="s">
        <v>763</v>
      </c>
      <c r="E75" s="5">
        <f t="shared" si="19"/>
        <v>1.0651315789473685</v>
      </c>
      <c r="F75" s="5">
        <v>1</v>
      </c>
      <c r="G75" s="21" t="s">
        <v>218</v>
      </c>
      <c r="H75" s="20" t="s">
        <v>105</v>
      </c>
      <c r="I75" s="5">
        <f t="shared" si="18"/>
        <v>0</v>
      </c>
      <c r="J75" s="5" t="s">
        <v>105</v>
      </c>
      <c r="K75" s="21">
        <f>inp_scr_max</f>
        <v>30</v>
      </c>
      <c r="L75" s="21">
        <f t="shared" si="23"/>
        <v>10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25">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L77"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25">
      <c r="A77" s="118">
        <v>1075</v>
      </c>
      <c r="B77" s="11" t="b">
        <v>1</v>
      </c>
      <c r="C77" s="11" t="b">
        <v>1</v>
      </c>
      <c r="D77" s="1" t="s">
        <v>764</v>
      </c>
      <c r="E77" s="5">
        <f t="shared" si="19"/>
        <v>1.0651315789473685</v>
      </c>
      <c r="F77" s="5">
        <v>1</v>
      </c>
      <c r="G77" s="21" t="s">
        <v>218</v>
      </c>
      <c r="H77" s="20" t="s">
        <v>105</v>
      </c>
      <c r="I77" s="5">
        <f t="shared" si="18"/>
        <v>0</v>
      </c>
      <c r="J77" s="5" t="s">
        <v>105</v>
      </c>
      <c r="K77" s="21">
        <f>inp_scr_max</f>
        <v>30</v>
      </c>
      <c r="L77" s="21">
        <f t="shared" si="25"/>
        <v>10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25">
      <c r="A78" s="118">
        <v>1076</v>
      </c>
      <c r="B78" s="11" t="b">
        <v>1</v>
      </c>
      <c r="C78" s="11" t="b">
        <v>1</v>
      </c>
      <c r="D78" s="1" t="s">
        <v>765</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25">
      <c r="A79" s="118">
        <v>1077</v>
      </c>
      <c r="B79" s="11" t="b">
        <v>1</v>
      </c>
      <c r="C79" s="11" t="b">
        <v>1</v>
      </c>
      <c r="D79" s="1" t="s">
        <v>766</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10</v>
      </c>
      <c r="M80" s="21" t="s">
        <v>105</v>
      </c>
      <c r="N80" s="6">
        <v>60</v>
      </c>
      <c r="O80" s="258" t="s">
        <v>109</v>
      </c>
      <c r="P80" s="259">
        <v>0</v>
      </c>
      <c r="Q80" s="259">
        <v>0.2</v>
      </c>
      <c r="R80" s="259">
        <v>0</v>
      </c>
      <c r="BJ80" s="257"/>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10</v>
      </c>
      <c r="M81" s="21" t="s">
        <v>105</v>
      </c>
      <c r="N81" s="6">
        <v>60</v>
      </c>
      <c r="O81" s="258" t="s">
        <v>109</v>
      </c>
      <c r="P81" s="259">
        <v>0</v>
      </c>
      <c r="Q81" s="259">
        <v>0.3</v>
      </c>
      <c r="R81" s="259">
        <v>0</v>
      </c>
      <c r="BJ81" s="257"/>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10</v>
      </c>
      <c r="M82" s="21" t="s">
        <v>105</v>
      </c>
      <c r="N82" s="6">
        <v>60</v>
      </c>
      <c r="O82" s="258" t="s">
        <v>109</v>
      </c>
      <c r="P82" s="259">
        <v>0</v>
      </c>
      <c r="Q82" s="259">
        <v>0.4</v>
      </c>
      <c r="R82" s="259">
        <v>0</v>
      </c>
      <c r="BJ82" s="257"/>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10</v>
      </c>
      <c r="M83" s="21" t="s">
        <v>105</v>
      </c>
      <c r="N83" s="6">
        <v>60</v>
      </c>
      <c r="O83" s="258" t="s">
        <v>109</v>
      </c>
      <c r="P83" s="259">
        <v>0</v>
      </c>
      <c r="Q83" s="259">
        <v>0.5</v>
      </c>
      <c r="R83" s="259">
        <v>0</v>
      </c>
      <c r="BJ83" s="257"/>
    </row>
    <row r="84" spans="1:62" x14ac:dyDescent="0.25">
      <c r="A84" s="118">
        <v>1082</v>
      </c>
      <c r="B84" s="11" t="b">
        <v>1</v>
      </c>
      <c r="C84" s="11" t="b">
        <v>1</v>
      </c>
      <c r="D84" s="1" t="s">
        <v>771</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8" t="s">
        <v>115</v>
      </c>
      <c r="P84" s="259">
        <v>0</v>
      </c>
      <c r="Q84" s="260">
        <v>0.8</v>
      </c>
      <c r="R84" s="259">
        <v>60</v>
      </c>
      <c r="BJ84" s="257"/>
    </row>
    <row r="85" spans="1:62" x14ac:dyDescent="0.25">
      <c r="A85" s="118">
        <v>1083</v>
      </c>
      <c r="B85" s="11" t="b">
        <v>1</v>
      </c>
      <c r="C85" s="11" t="b">
        <v>1</v>
      </c>
      <c r="D85" s="1" t="s">
        <v>772</v>
      </c>
      <c r="E85" s="5">
        <f t="shared" si="35"/>
        <v>1.0651315789473685</v>
      </c>
      <c r="F85" s="5">
        <v>1</v>
      </c>
      <c r="G85" s="21" t="s">
        <v>218</v>
      </c>
      <c r="H85" s="20" t="s">
        <v>105</v>
      </c>
      <c r="I85" s="5">
        <f t="shared" si="18"/>
        <v>0</v>
      </c>
      <c r="J85" s="5" t="s">
        <v>105</v>
      </c>
      <c r="K85" s="21">
        <f t="shared" si="33"/>
        <v>10</v>
      </c>
      <c r="L85" s="21">
        <f t="shared" si="34"/>
        <v>10</v>
      </c>
      <c r="M85" s="21" t="s">
        <v>105</v>
      </c>
      <c r="N85" s="6">
        <v>60</v>
      </c>
      <c r="O85" s="258" t="s">
        <v>115</v>
      </c>
      <c r="P85" s="259">
        <v>0</v>
      </c>
      <c r="Q85" s="260">
        <v>0.6</v>
      </c>
      <c r="R85" s="259">
        <v>60</v>
      </c>
      <c r="BJ85" s="257"/>
    </row>
    <row r="86" spans="1:62" x14ac:dyDescent="0.25">
      <c r="A86" s="118">
        <v>1084</v>
      </c>
      <c r="B86" s="11" t="b">
        <v>1</v>
      </c>
      <c r="C86" s="11" t="b">
        <v>1</v>
      </c>
      <c r="D86" s="1" t="s">
        <v>773</v>
      </c>
      <c r="E86" s="5">
        <f t="shared" si="35"/>
        <v>1.0651315789473685</v>
      </c>
      <c r="F86" s="5">
        <v>1</v>
      </c>
      <c r="G86" s="21" t="s">
        <v>218</v>
      </c>
      <c r="H86" s="20" t="s">
        <v>105</v>
      </c>
      <c r="I86" s="5">
        <f t="shared" si="18"/>
        <v>0</v>
      </c>
      <c r="J86" s="5" t="s">
        <v>105</v>
      </c>
      <c r="K86" s="21">
        <f t="shared" si="33"/>
        <v>10</v>
      </c>
      <c r="L86" s="21">
        <f t="shared" si="34"/>
        <v>10</v>
      </c>
      <c r="M86" s="21" t="s">
        <v>105</v>
      </c>
      <c r="N86" s="6">
        <v>60</v>
      </c>
      <c r="O86" s="258" t="s">
        <v>115</v>
      </c>
      <c r="P86" s="259">
        <v>0</v>
      </c>
      <c r="Q86" s="260">
        <v>0.4</v>
      </c>
      <c r="R86" s="259">
        <v>60</v>
      </c>
      <c r="BJ86" s="257"/>
    </row>
    <row r="87" spans="1:62" x14ac:dyDescent="0.25">
      <c r="A87" s="118">
        <v>1085</v>
      </c>
      <c r="B87" s="11" t="b">
        <v>1</v>
      </c>
      <c r="C87" s="11" t="b">
        <v>1</v>
      </c>
      <c r="D87" s="1" t="s">
        <v>774</v>
      </c>
      <c r="E87" s="5">
        <f t="shared" si="35"/>
        <v>1.0651315789473685</v>
      </c>
      <c r="F87" s="5">
        <v>1</v>
      </c>
      <c r="G87" s="21" t="s">
        <v>218</v>
      </c>
      <c r="H87" s="20" t="s">
        <v>105</v>
      </c>
      <c r="I87" s="5">
        <f t="shared" si="18"/>
        <v>0</v>
      </c>
      <c r="J87" s="5" t="s">
        <v>105</v>
      </c>
      <c r="K87" s="21">
        <f t="shared" si="33"/>
        <v>10</v>
      </c>
      <c r="L87" s="21">
        <f t="shared" si="34"/>
        <v>10</v>
      </c>
      <c r="M87" s="21" t="s">
        <v>105</v>
      </c>
      <c r="N87" s="6">
        <v>60</v>
      </c>
      <c r="O87" s="258" t="s">
        <v>115</v>
      </c>
      <c r="P87" s="259">
        <v>0</v>
      </c>
      <c r="Q87" s="260">
        <v>0.2</v>
      </c>
      <c r="R87" s="259">
        <v>60</v>
      </c>
      <c r="BJ87" s="257"/>
    </row>
    <row r="88" spans="1:62" x14ac:dyDescent="0.25">
      <c r="A88" s="118">
        <v>1086</v>
      </c>
      <c r="B88" s="11" t="b">
        <v>1</v>
      </c>
      <c r="C88" s="11" t="b">
        <v>1</v>
      </c>
      <c r="D88" s="1" t="s">
        <v>775</v>
      </c>
      <c r="E88" s="5">
        <f t="shared" si="35"/>
        <v>1.0651315789473685</v>
      </c>
      <c r="F88" s="5">
        <v>1</v>
      </c>
      <c r="G88" s="21" t="s">
        <v>218</v>
      </c>
      <c r="H88" s="20" t="s">
        <v>105</v>
      </c>
      <c r="I88" s="5">
        <f t="shared" si="18"/>
        <v>0</v>
      </c>
      <c r="J88" s="5" t="s">
        <v>105</v>
      </c>
      <c r="K88" s="21">
        <f>inp_scr_max</f>
        <v>30</v>
      </c>
      <c r="L88" s="21">
        <f t="shared" si="34"/>
        <v>10</v>
      </c>
      <c r="M88" s="21" t="s">
        <v>105</v>
      </c>
      <c r="N88" s="6">
        <v>60</v>
      </c>
      <c r="O88" s="258" t="s">
        <v>117</v>
      </c>
      <c r="P88" s="259">
        <v>0</v>
      </c>
      <c r="Q88" s="260">
        <v>0.05</v>
      </c>
      <c r="R88" s="259">
        <v>60</v>
      </c>
      <c r="BJ88" s="257"/>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1" t="s">
        <v>78</v>
      </c>
      <c r="U1" s="391"/>
      <c r="V1" s="391"/>
      <c r="W1" s="391"/>
      <c r="X1" s="401" t="s">
        <v>79</v>
      </c>
      <c r="Y1" s="401"/>
      <c r="Z1" s="401"/>
      <c r="AA1" s="401"/>
      <c r="AB1" s="391" t="s">
        <v>80</v>
      </c>
      <c r="AC1" s="391"/>
      <c r="AD1" s="391"/>
      <c r="AE1" s="391"/>
      <c r="AF1" s="401" t="s">
        <v>81</v>
      </c>
      <c r="AG1" s="401"/>
      <c r="AH1" s="401"/>
      <c r="AI1" s="401"/>
      <c r="AJ1" s="391" t="s">
        <v>82</v>
      </c>
      <c r="AK1" s="391"/>
      <c r="AL1" s="391"/>
      <c r="AM1" s="391"/>
      <c r="AN1" s="401" t="s">
        <v>83</v>
      </c>
      <c r="AO1" s="401"/>
      <c r="AP1" s="401"/>
      <c r="AQ1" s="401"/>
      <c r="AR1" s="391" t="s">
        <v>84</v>
      </c>
      <c r="AS1" s="391"/>
      <c r="AT1" s="391"/>
      <c r="AU1" s="391"/>
      <c r="AV1" s="401" t="s">
        <v>85</v>
      </c>
      <c r="AW1" s="401"/>
      <c r="AX1" s="401"/>
      <c r="AY1" s="401"/>
      <c r="AZ1" s="391" t="s">
        <v>86</v>
      </c>
      <c r="BA1" s="391"/>
      <c r="BB1" s="391"/>
      <c r="BC1" s="391"/>
      <c r="BD1" s="401" t="s">
        <v>87</v>
      </c>
      <c r="BE1" s="401"/>
      <c r="BF1" s="401"/>
      <c r="BG1" s="401"/>
      <c r="BH1" s="391" t="s">
        <v>88</v>
      </c>
      <c r="BI1" s="391"/>
      <c r="BJ1" s="391"/>
      <c r="BK1" s="391"/>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25">
      <c r="A14" s="1">
        <v>2012</v>
      </c>
      <c r="B14" s="117" t="b">
        <v>1</v>
      </c>
      <c r="C14" s="117" t="b">
        <v>1</v>
      </c>
      <c r="D14" s="118" t="s">
        <v>778</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1" t="s">
        <v>108</v>
      </c>
      <c r="Q14" s="261">
        <v>0</v>
      </c>
      <c r="R14" s="261">
        <f>E14-0.1</f>
        <v>0.96513157894736856</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1.0651315789473685</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25">
      <c r="A17" s="1">
        <v>2015</v>
      </c>
      <c r="B17" s="117" t="b">
        <v>1</v>
      </c>
      <c r="C17" s="117" t="b">
        <v>1</v>
      </c>
      <c r="D17" s="118" t="s">
        <v>781</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25">
      <c r="A18" s="1">
        <v>2016</v>
      </c>
      <c r="B18" s="117" t="b">
        <v>1</v>
      </c>
      <c r="C18" s="117" t="b">
        <v>1</v>
      </c>
      <c r="D18" s="118" t="s">
        <v>782</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9" t="s">
        <v>125</v>
      </c>
      <c r="S44" s="269">
        <f t="shared" ref="S44:S45" si="19">inp_Uc/inp_Un</f>
        <v>1.0651315789473685</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25">
      <c r="A45" s="1">
        <v>2043</v>
      </c>
      <c r="B45" s="117" t="b">
        <v>1</v>
      </c>
      <c r="C45" s="117" t="b">
        <v>1</v>
      </c>
      <c r="D45" s="118" t="s">
        <v>790</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9" t="s">
        <v>338</v>
      </c>
      <c r="S45" s="269">
        <f t="shared" si="19"/>
        <v>1.0651315789473685</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25">
      <c r="A53" s="1">
        <v>2051</v>
      </c>
      <c r="B53" s="117" t="b">
        <v>1</v>
      </c>
      <c r="C53" s="117" t="b">
        <v>1</v>
      </c>
      <c r="D53" s="118" t="s">
        <v>792</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25">
      <c r="A59" s="1">
        <v>2057</v>
      </c>
      <c r="B59" s="117" t="b">
        <v>1</v>
      </c>
      <c r="C59" s="117" t="b">
        <v>1</v>
      </c>
      <c r="D59" s="118" t="s">
        <v>784</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f>inp_xr_max</f>
        <v>20</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91" t="s">
        <v>492</v>
      </c>
      <c r="B1" s="391"/>
      <c r="C1" s="391"/>
      <c r="D1" s="391"/>
      <c r="E1" s="392" t="s">
        <v>493</v>
      </c>
      <c r="F1" s="393"/>
      <c r="G1" s="393"/>
      <c r="H1" s="393"/>
      <c r="I1" s="393"/>
      <c r="J1" s="393"/>
      <c r="K1" s="393"/>
      <c r="L1" s="393"/>
      <c r="M1" s="393"/>
      <c r="N1" s="393"/>
      <c r="O1" s="393"/>
      <c r="P1" s="393"/>
      <c r="Q1" s="393"/>
      <c r="R1" s="393"/>
      <c r="S1" s="393"/>
      <c r="T1" s="393"/>
      <c r="U1" s="394"/>
      <c r="V1" s="390" t="s">
        <v>77</v>
      </c>
      <c r="W1" s="390"/>
      <c r="X1" s="390"/>
      <c r="Y1" s="390"/>
      <c r="Z1" s="391" t="s">
        <v>78</v>
      </c>
      <c r="AA1" s="391"/>
      <c r="AB1" s="391"/>
      <c r="AC1" s="391"/>
      <c r="AD1" s="390" t="s">
        <v>79</v>
      </c>
      <c r="AE1" s="390"/>
      <c r="AF1" s="390"/>
      <c r="AG1" s="390"/>
      <c r="AH1" s="391" t="s">
        <v>80</v>
      </c>
      <c r="AI1" s="391"/>
      <c r="AJ1" s="391"/>
      <c r="AK1" s="391"/>
      <c r="AL1" s="390" t="s">
        <v>81</v>
      </c>
      <c r="AM1" s="390"/>
      <c r="AN1" s="390"/>
      <c r="AO1" s="390"/>
      <c r="AP1" s="391" t="s">
        <v>82</v>
      </c>
      <c r="AQ1" s="391"/>
      <c r="AR1" s="391"/>
      <c r="AS1" s="391"/>
      <c r="AT1" s="390" t="s">
        <v>83</v>
      </c>
      <c r="AU1" s="390"/>
      <c r="AV1" s="390"/>
      <c r="AW1" s="390"/>
      <c r="AX1" s="391" t="s">
        <v>84</v>
      </c>
      <c r="AY1" s="391"/>
      <c r="AZ1" s="391"/>
      <c r="BA1" s="391"/>
      <c r="BB1" s="390" t="s">
        <v>85</v>
      </c>
      <c r="BC1" s="390"/>
      <c r="BD1" s="390"/>
      <c r="BE1" s="390"/>
      <c r="BF1" s="391" t="s">
        <v>86</v>
      </c>
      <c r="BG1" s="391"/>
      <c r="BH1" s="391"/>
      <c r="BI1" s="391"/>
      <c r="BJ1" s="390" t="s">
        <v>87</v>
      </c>
      <c r="BK1" s="390"/>
      <c r="BL1" s="390"/>
      <c r="BM1" s="390"/>
      <c r="BN1" s="391" t="s">
        <v>88</v>
      </c>
      <c r="BO1" s="391"/>
      <c r="BP1" s="391"/>
      <c r="BQ1" s="391"/>
      <c r="BR1" s="390" t="s">
        <v>497</v>
      </c>
      <c r="BS1" s="390"/>
      <c r="BT1" s="390"/>
      <c r="BU1" s="390"/>
    </row>
    <row r="2" spans="1:73" s="11" customFormat="1" ht="30" customHeight="1" x14ac:dyDescent="0.25">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412"/>
      <c r="C4" s="412"/>
      <c r="D4" s="412"/>
      <c r="E4" s="412"/>
      <c r="F4" s="412"/>
      <c r="G4" s="412"/>
      <c r="H4" s="412"/>
      <c r="I4" s="412"/>
      <c r="J4" s="412"/>
      <c r="K4" s="412"/>
      <c r="L4" s="412"/>
      <c r="M4" s="412"/>
      <c r="N4" s="412"/>
      <c r="O4" s="412"/>
      <c r="P4" s="412"/>
      <c r="Q4" s="412"/>
      <c r="R4" s="412"/>
      <c r="S4" s="412"/>
      <c r="T4" s="412"/>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412"/>
      <c r="C5" s="412"/>
      <c r="D5" s="412"/>
      <c r="E5" s="412"/>
      <c r="F5" s="412"/>
      <c r="G5" s="412"/>
      <c r="H5" s="412"/>
      <c r="I5" s="412"/>
      <c r="J5" s="412"/>
      <c r="K5" s="412"/>
      <c r="L5" s="412"/>
      <c r="M5" s="412"/>
      <c r="N5" s="412"/>
      <c r="O5" s="412"/>
      <c r="P5" s="412"/>
      <c r="Q5" s="412"/>
      <c r="R5" s="412"/>
      <c r="S5" s="412"/>
      <c r="T5" s="412"/>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412"/>
      <c r="C6" s="412"/>
      <c r="D6" s="412"/>
      <c r="E6" s="412"/>
      <c r="F6" s="412"/>
      <c r="G6" s="412"/>
      <c r="H6" s="412"/>
      <c r="I6" s="412"/>
      <c r="J6" s="412"/>
      <c r="K6" s="412"/>
      <c r="L6" s="412"/>
      <c r="M6" s="412"/>
      <c r="N6" s="412"/>
      <c r="O6" s="412"/>
      <c r="P6" s="412"/>
      <c r="Q6" s="412"/>
      <c r="R6" s="412"/>
      <c r="S6" s="412"/>
      <c r="T6" s="412"/>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412"/>
      <c r="C7" s="412"/>
      <c r="D7" s="412"/>
      <c r="E7" s="412"/>
      <c r="F7" s="412"/>
      <c r="G7" s="412"/>
      <c r="H7" s="412"/>
      <c r="I7" s="412"/>
      <c r="J7" s="412"/>
      <c r="K7" s="412"/>
      <c r="L7" s="412"/>
      <c r="M7" s="412"/>
      <c r="N7" s="412"/>
      <c r="O7" s="412"/>
      <c r="P7" s="412"/>
      <c r="Q7" s="412"/>
      <c r="R7" s="412"/>
      <c r="S7" s="412"/>
      <c r="T7" s="412"/>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412"/>
      <c r="C8" s="412"/>
      <c r="D8" s="412"/>
      <c r="E8" s="412"/>
      <c r="F8" s="412"/>
      <c r="G8" s="412"/>
      <c r="H8" s="412"/>
      <c r="I8" s="412"/>
      <c r="J8" s="412"/>
      <c r="K8" s="412"/>
      <c r="L8" s="412"/>
      <c r="M8" s="412"/>
      <c r="N8" s="412"/>
      <c r="O8" s="412"/>
      <c r="P8" s="412"/>
      <c r="Q8" s="412"/>
      <c r="R8" s="412"/>
      <c r="S8" s="412"/>
      <c r="T8" s="412"/>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412"/>
      <c r="C9" s="412"/>
      <c r="D9" s="412"/>
      <c r="E9" s="412"/>
      <c r="F9" s="412"/>
      <c r="G9" s="412"/>
      <c r="H9" s="412"/>
      <c r="I9" s="412"/>
      <c r="J9" s="412"/>
      <c r="K9" s="412"/>
      <c r="L9" s="412"/>
      <c r="M9" s="412"/>
      <c r="N9" s="412"/>
      <c r="O9" s="412"/>
      <c r="P9" s="412"/>
      <c r="Q9" s="412"/>
      <c r="R9" s="412"/>
      <c r="S9" s="412"/>
      <c r="T9" s="412"/>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24"/>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24"/>
      <c r="G13" s="24"/>
      <c r="H13" s="24"/>
      <c r="I13" s="24"/>
      <c r="J13" s="24"/>
      <c r="K13" s="24"/>
      <c r="L13" s="24"/>
      <c r="M13" s="24"/>
      <c r="N13" s="119"/>
      <c r="O13" s="120"/>
      <c r="P13" s="24"/>
      <c r="Q13" s="24"/>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24"/>
      <c r="G14" s="24"/>
      <c r="H14" s="24"/>
      <c r="I14" s="24"/>
      <c r="J14" s="24"/>
      <c r="K14" s="24"/>
      <c r="L14" s="24"/>
      <c r="M14" s="24"/>
      <c r="N14" s="119"/>
      <c r="O14" s="120"/>
      <c r="P14" s="24"/>
      <c r="Q14" s="24"/>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24"/>
      <c r="G15" s="24"/>
      <c r="H15" s="24"/>
      <c r="I15" s="24"/>
      <c r="J15" s="24"/>
      <c r="K15" s="24"/>
      <c r="L15" s="24"/>
      <c r="M15" s="24"/>
      <c r="N15" s="119"/>
      <c r="O15" s="120"/>
      <c r="P15" s="24"/>
      <c r="Q15" s="24"/>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24"/>
      <c r="G16" s="24"/>
      <c r="H16" s="24"/>
      <c r="I16" s="24"/>
      <c r="J16" s="24"/>
      <c r="K16" s="24"/>
      <c r="L16" s="24"/>
      <c r="M16" s="24"/>
      <c r="N16" s="119"/>
      <c r="O16" s="120"/>
      <c r="P16" s="24"/>
      <c r="Q16" s="24"/>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24"/>
      <c r="G17" s="24"/>
      <c r="H17" s="24"/>
      <c r="I17" s="24"/>
      <c r="J17" s="24"/>
      <c r="K17" s="24"/>
      <c r="L17" s="24"/>
      <c r="M17" s="24"/>
      <c r="N17" s="119"/>
      <c r="O17" s="120"/>
      <c r="P17" s="24"/>
      <c r="Q17" s="24"/>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381"/>
      <c r="D18" s="118"/>
      <c r="E18" s="24"/>
      <c r="F18" s="24"/>
      <c r="G18" s="24"/>
      <c r="H18" s="24"/>
      <c r="I18" s="24"/>
      <c r="J18" s="24"/>
      <c r="K18" s="24"/>
      <c r="L18" s="24"/>
      <c r="M18" s="24"/>
      <c r="N18" s="119"/>
      <c r="O18" s="120"/>
      <c r="P18" s="24"/>
      <c r="Q18" s="24"/>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24"/>
      <c r="G19" s="24"/>
      <c r="H19" s="24"/>
      <c r="I19" s="24"/>
      <c r="J19" s="24"/>
      <c r="K19" s="24"/>
      <c r="L19" s="24"/>
      <c r="M19" s="24"/>
      <c r="N19" s="120"/>
      <c r="O19" s="120"/>
      <c r="P19" s="24"/>
      <c r="Q19" s="24"/>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24"/>
      <c r="G20" s="24"/>
      <c r="H20" s="24"/>
      <c r="I20" s="24"/>
      <c r="J20" s="24"/>
      <c r="K20" s="24"/>
      <c r="L20" s="24"/>
      <c r="M20" s="24"/>
      <c r="N20" s="120"/>
      <c r="O20" s="120"/>
      <c r="P20" s="24"/>
      <c r="Q20" s="24"/>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24"/>
      <c r="G21" s="24"/>
      <c r="H21" s="24"/>
      <c r="I21" s="24"/>
      <c r="J21" s="24"/>
      <c r="K21" s="24"/>
      <c r="L21" s="24"/>
      <c r="M21" s="24"/>
      <c r="N21" s="119"/>
      <c r="O21" s="120"/>
      <c r="P21" s="24"/>
      <c r="Q21" s="24"/>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24"/>
      <c r="G22" s="24"/>
      <c r="H22" s="24"/>
      <c r="I22" s="24"/>
      <c r="J22" s="24"/>
      <c r="K22" s="24"/>
      <c r="L22" s="24"/>
      <c r="M22" s="24"/>
      <c r="N22" s="119"/>
      <c r="O22" s="120"/>
      <c r="P22" s="24"/>
      <c r="Q22" s="24"/>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24"/>
      <c r="G23" s="24"/>
      <c r="H23" s="24"/>
      <c r="I23" s="24"/>
      <c r="J23" s="24"/>
      <c r="K23" s="24"/>
      <c r="L23" s="24"/>
      <c r="M23" s="24"/>
      <c r="N23" s="119"/>
      <c r="O23" s="120"/>
      <c r="P23" s="24"/>
      <c r="Q23" s="24"/>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24"/>
      <c r="G24" s="24"/>
      <c r="H24" s="24"/>
      <c r="I24" s="24"/>
      <c r="J24" s="24"/>
      <c r="K24" s="24"/>
      <c r="L24" s="24"/>
      <c r="M24" s="24"/>
      <c r="N24" s="120"/>
      <c r="O24" s="120"/>
      <c r="P24" s="24"/>
      <c r="Q24" s="24"/>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24"/>
      <c r="G25" s="24"/>
      <c r="H25" s="24"/>
      <c r="I25" s="24"/>
      <c r="J25" s="24"/>
      <c r="K25" s="24"/>
      <c r="L25" s="24"/>
      <c r="M25" s="24"/>
      <c r="N25" s="120"/>
      <c r="O25" s="120"/>
      <c r="P25" s="24"/>
      <c r="Q25" s="24"/>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24"/>
      <c r="G26" s="24"/>
      <c r="H26" s="24"/>
      <c r="I26" s="24"/>
      <c r="J26" s="24"/>
      <c r="K26" s="24"/>
      <c r="L26" s="24"/>
      <c r="M26" s="24"/>
      <c r="N26" s="120"/>
      <c r="O26" s="120"/>
      <c r="P26" s="24"/>
      <c r="Q26" s="24"/>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24"/>
      <c r="G27" s="24"/>
      <c r="H27" s="24"/>
      <c r="I27" s="24"/>
      <c r="J27" s="24"/>
      <c r="K27" s="24"/>
      <c r="L27" s="24"/>
      <c r="M27" s="24"/>
      <c r="N27" s="120"/>
      <c r="O27" s="120"/>
      <c r="P27" s="24"/>
      <c r="Q27" s="24"/>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24"/>
      <c r="G28" s="24"/>
      <c r="H28" s="24"/>
      <c r="I28" s="24"/>
      <c r="J28" s="24"/>
      <c r="K28" s="24"/>
      <c r="L28" s="24"/>
      <c r="M28" s="24"/>
      <c r="N28" s="119"/>
      <c r="O28" s="120"/>
      <c r="P28" s="24"/>
      <c r="Q28" s="24"/>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24"/>
      <c r="G29" s="24"/>
      <c r="H29" s="24"/>
      <c r="I29" s="24"/>
      <c r="J29" s="24"/>
      <c r="K29" s="24"/>
      <c r="L29" s="24"/>
      <c r="M29" s="24"/>
      <c r="N29" s="119"/>
      <c r="O29" s="120"/>
      <c r="P29" s="24"/>
      <c r="Q29" s="24"/>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2"/>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2"/>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2"/>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1"/>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1"/>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2"/>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2"/>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 O10:O1048576</xm:sqref>
        </x14:dataValidation>
        <x14:dataValidation type="list" allowBlank="1" showInputMessage="1" showErrorMessage="1" xr:uid="{00000000-0002-0000-0500-000005000000}">
          <x14:formula1>
            <xm:f>datavalidation!$C$1:$C$8</xm:f>
          </x14:formula1>
          <xm:sqref>N3 N10:N1048576</xm:sqref>
        </x14:dataValidation>
        <x14:dataValidation type="list" allowBlank="1" showInputMessage="1" showErrorMessage="1" xr:uid="{00000000-0002-0000-0500-000006000000}">
          <x14:formula1>
            <xm:f>datavalidation!$E$1:$E$2</xm:f>
          </x14:formula1>
          <xm:sqref>B10:C186 B3:C3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2" t="s">
        <v>78</v>
      </c>
      <c r="U1" s="393"/>
      <c r="V1" s="393"/>
      <c r="W1" s="393"/>
      <c r="X1" s="401" t="s">
        <v>79</v>
      </c>
      <c r="Y1" s="401"/>
      <c r="Z1" s="401"/>
      <c r="AA1" s="401"/>
      <c r="AB1" s="392" t="s">
        <v>80</v>
      </c>
      <c r="AC1" s="393"/>
      <c r="AD1" s="393"/>
      <c r="AE1" s="393"/>
      <c r="AF1" s="401" t="s">
        <v>81</v>
      </c>
      <c r="AG1" s="401"/>
      <c r="AH1" s="401"/>
      <c r="AI1" s="401"/>
      <c r="AJ1" s="392" t="s">
        <v>82</v>
      </c>
      <c r="AK1" s="393"/>
      <c r="AL1" s="393"/>
      <c r="AM1" s="393"/>
      <c r="AN1" s="401" t="s">
        <v>83</v>
      </c>
      <c r="AO1" s="401"/>
      <c r="AP1" s="401"/>
      <c r="AQ1" s="401"/>
      <c r="AR1" s="392" t="s">
        <v>84</v>
      </c>
      <c r="AS1" s="393"/>
      <c r="AT1" s="393"/>
      <c r="AU1" s="393"/>
      <c r="AV1" s="401" t="s">
        <v>85</v>
      </c>
      <c r="AW1" s="401"/>
      <c r="AX1" s="401"/>
      <c r="AY1" s="401"/>
      <c r="AZ1" s="392" t="s">
        <v>86</v>
      </c>
      <c r="BA1" s="393"/>
      <c r="BB1" s="393"/>
      <c r="BC1" s="393"/>
      <c r="BD1" s="401" t="s">
        <v>87</v>
      </c>
      <c r="BE1" s="401"/>
      <c r="BF1" s="401"/>
      <c r="BG1" s="401"/>
      <c r="BH1" s="392" t="s">
        <v>88</v>
      </c>
      <c r="BI1" s="393"/>
      <c r="BJ1" s="393"/>
      <c r="BK1" s="393"/>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v>0</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1.0651315789473685</v>
      </c>
      <c r="F5" s="5">
        <v>1</v>
      </c>
      <c r="G5" s="5" t="s">
        <v>105</v>
      </c>
      <c r="H5" s="5" t="s">
        <v>219</v>
      </c>
      <c r="I5" s="5" t="s">
        <v>105</v>
      </c>
      <c r="J5" s="5">
        <v>0</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1.0651315789473685</v>
      </c>
      <c r="F6" s="5">
        <v>1</v>
      </c>
      <c r="G6" s="5" t="s">
        <v>105</v>
      </c>
      <c r="H6" s="5" t="s">
        <v>219</v>
      </c>
      <c r="I6" s="5" t="s">
        <v>105</v>
      </c>
      <c r="J6" s="5">
        <v>0</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3"/>
        <v>Custom_RfG_Fault_3_FRTtrig_0.84pu</v>
      </c>
      <c r="E7" s="5">
        <f t="shared" si="2"/>
        <v>1.0651315789473685</v>
      </c>
      <c r="F7" s="5">
        <v>1</v>
      </c>
      <c r="G7" s="5" t="s">
        <v>105</v>
      </c>
      <c r="H7" s="5" t="s">
        <v>219</v>
      </c>
      <c r="I7" s="5" t="s">
        <v>105</v>
      </c>
      <c r="J7" s="5">
        <v>0</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1.0651315789473685</v>
      </c>
      <c r="F8" s="5">
        <v>1</v>
      </c>
      <c r="G8" s="5" t="s">
        <v>105</v>
      </c>
      <c r="H8" s="5" t="s">
        <v>219</v>
      </c>
      <c r="I8" s="5" t="s">
        <v>105</v>
      </c>
      <c r="J8" s="5">
        <v>0</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1.0651315789473685</v>
      </c>
      <c r="F9" s="5">
        <v>1</v>
      </c>
      <c r="G9" s="5" t="s">
        <v>105</v>
      </c>
      <c r="H9" s="5" t="s">
        <v>219</v>
      </c>
      <c r="I9" s="5" t="s">
        <v>105</v>
      </c>
      <c r="J9" s="5">
        <v>0</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1.0651315789473685</v>
      </c>
      <c r="F10" s="5">
        <v>1</v>
      </c>
      <c r="G10" s="5" t="s">
        <v>105</v>
      </c>
      <c r="H10" s="5" t="s">
        <v>219</v>
      </c>
      <c r="I10" s="5" t="s">
        <v>105</v>
      </c>
      <c r="J10" s="5">
        <v>0</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1.0651315789473685</v>
      </c>
      <c r="F11" s="5">
        <v>1</v>
      </c>
      <c r="G11" s="5" t="s">
        <v>105</v>
      </c>
      <c r="H11" s="5" t="s">
        <v>219</v>
      </c>
      <c r="I11" s="5" t="s">
        <v>105</v>
      </c>
      <c r="J11" s="5">
        <v>0</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1.0651315789473685</v>
      </c>
      <c r="F12" s="5">
        <v>1</v>
      </c>
      <c r="G12" s="5" t="s">
        <v>105</v>
      </c>
      <c r="H12" s="5" t="s">
        <v>219</v>
      </c>
      <c r="I12" s="5" t="s">
        <v>105</v>
      </c>
      <c r="J12" s="5">
        <v>0</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1.0651315789473685</v>
      </c>
      <c r="F13" s="5">
        <v>1</v>
      </c>
      <c r="G13" s="5" t="s">
        <v>105</v>
      </c>
      <c r="H13" s="5" t="s">
        <v>219</v>
      </c>
      <c r="I13" s="5" t="s">
        <v>105</v>
      </c>
      <c r="J13" s="5">
        <v>0</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1.0651315789473685</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25">
      <c r="A16" s="1">
        <v>4014</v>
      </c>
      <c r="B16" s="11" t="b">
        <v>1</v>
      </c>
      <c r="C16" s="11" t="b">
        <v>1</v>
      </c>
      <c r="D16" s="118" t="str">
        <f t="shared" si="14"/>
        <v>Custom_RfG_LVRT_FRTexit_0.86pu</v>
      </c>
      <c r="E16" s="5">
        <f t="shared" si="2"/>
        <v>1.0651315789473685</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1.0651315789473685</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1.0651315789473685</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1.0651315789473685</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v>0</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1.0651315789473685</v>
      </c>
      <c r="F21" s="5">
        <v>1</v>
      </c>
      <c r="G21" s="5" t="s">
        <v>105</v>
      </c>
      <c r="H21" s="5" t="s">
        <v>219</v>
      </c>
      <c r="I21" s="5" t="s">
        <v>105</v>
      </c>
      <c r="J21" s="5">
        <v>0</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1.0651315789473685</v>
      </c>
      <c r="F22" s="5">
        <v>1</v>
      </c>
      <c r="G22" s="5" t="s">
        <v>105</v>
      </c>
      <c r="H22" s="5" t="s">
        <v>219</v>
      </c>
      <c r="I22" s="5" t="s">
        <v>105</v>
      </c>
      <c r="J22" s="5">
        <v>0</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1.0651315789473685</v>
      </c>
      <c r="F23" s="5">
        <v>1</v>
      </c>
      <c r="G23" s="5" t="s">
        <v>105</v>
      </c>
      <c r="H23" s="5" t="s">
        <v>219</v>
      </c>
      <c r="I23" s="5" t="s">
        <v>105</v>
      </c>
      <c r="J23" s="5">
        <v>0</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1.0651315789473685</v>
      </c>
      <c r="F24" s="5">
        <v>1</v>
      </c>
      <c r="G24" s="5" t="s">
        <v>105</v>
      </c>
      <c r="H24" s="5" t="s">
        <v>219</v>
      </c>
      <c r="I24" s="5" t="s">
        <v>105</v>
      </c>
      <c r="J24" s="5">
        <v>0</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5"/>
        <v>Custom_RfG_Fault_3_MaxIQ_0.19pu</v>
      </c>
      <c r="E25" s="5">
        <f t="shared" si="2"/>
        <v>1.0651315789473685</v>
      </c>
      <c r="F25" s="5">
        <v>1</v>
      </c>
      <c r="G25" s="5" t="s">
        <v>105</v>
      </c>
      <c r="H25" s="5" t="s">
        <v>219</v>
      </c>
      <c r="I25" s="5" t="s">
        <v>105</v>
      </c>
      <c r="J25" s="5">
        <v>0</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1.0651315789473685</v>
      </c>
      <c r="F26" s="5">
        <v>1</v>
      </c>
      <c r="G26" s="5" t="s">
        <v>105</v>
      </c>
      <c r="H26" s="5" t="s">
        <v>219</v>
      </c>
      <c r="I26" s="5" t="s">
        <v>105</v>
      </c>
      <c r="J26" s="5">
        <v>0</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1.0651315789473685</v>
      </c>
      <c r="F27" s="5">
        <v>1</v>
      </c>
      <c r="G27" s="5" t="s">
        <v>105</v>
      </c>
      <c r="H27" s="5" t="s">
        <v>219</v>
      </c>
      <c r="I27" s="5" t="s">
        <v>105</v>
      </c>
      <c r="J27" s="5">
        <v>0</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1.0651315789473685</v>
      </c>
      <c r="F28" s="5">
        <v>1</v>
      </c>
      <c r="G28" s="5" t="s">
        <v>105</v>
      </c>
      <c r="H28" s="5" t="s">
        <v>219</v>
      </c>
      <c r="I28" s="5" t="s">
        <v>105</v>
      </c>
      <c r="J28" s="5">
        <v>0</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1.0651315789473685</v>
      </c>
      <c r="F29" s="5">
        <v>1</v>
      </c>
      <c r="G29" s="5" t="s">
        <v>105</v>
      </c>
      <c r="H29" s="5" t="s">
        <v>219</v>
      </c>
      <c r="I29" s="5" t="s">
        <v>105</v>
      </c>
      <c r="J29" s="5">
        <v>0</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1.0651315789473685</v>
      </c>
      <c r="F36" s="5">
        <v>0.5</v>
      </c>
      <c r="G36" s="5" t="s">
        <v>105</v>
      </c>
      <c r="H36" s="5" t="s">
        <v>219</v>
      </c>
      <c r="I36" s="5" t="s">
        <v>110</v>
      </c>
      <c r="J36" s="5">
        <f t="shared" ref="J36:J38" si="17">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6"/>
        <v>Custom_RfG_Ucontrol_Plim_0.50pu</v>
      </c>
      <c r="E37" s="5">
        <f t="shared" si="2"/>
        <v>1.0651315789473685</v>
      </c>
      <c r="F37" s="5">
        <v>0.5</v>
      </c>
      <c r="G37" s="5" t="s">
        <v>105</v>
      </c>
      <c r="H37" s="5" t="s">
        <v>219</v>
      </c>
      <c r="I37" s="5" t="s">
        <v>110</v>
      </c>
      <c r="J37" s="5">
        <f t="shared" si="17"/>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7"/>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v>0</v>
      </c>
      <c r="K45" s="5" t="s">
        <v>105</v>
      </c>
      <c r="L45" s="21">
        <f t="shared" si="0"/>
        <v>10</v>
      </c>
      <c r="M45" s="21">
        <f t="shared" si="1"/>
        <v>10</v>
      </c>
      <c r="N45" s="21" t="s">
        <v>105</v>
      </c>
      <c r="O45" s="5">
        <v>12</v>
      </c>
      <c r="P45" s="18" t="s">
        <v>115</v>
      </c>
      <c r="Q45" s="17">
        <v>0</v>
      </c>
      <c r="R45" s="71">
        <v>0.2</v>
      </c>
      <c r="S45" s="17">
        <v>0.45</v>
      </c>
      <c r="T45" s="1" t="s">
        <v>108</v>
      </c>
      <c r="U45" s="5">
        <v>0.45</v>
      </c>
      <c r="V45" s="5">
        <f t="shared" ref="V45:V51" si="18">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v>0</v>
      </c>
      <c r="K46" s="5" t="s">
        <v>105</v>
      </c>
      <c r="L46" s="21">
        <f t="shared" si="0"/>
        <v>10</v>
      </c>
      <c r="M46" s="21">
        <f t="shared" si="1"/>
        <v>10</v>
      </c>
      <c r="N46" s="21" t="s">
        <v>105</v>
      </c>
      <c r="O46" s="5">
        <v>12</v>
      </c>
      <c r="P46" s="18" t="s">
        <v>116</v>
      </c>
      <c r="Q46" s="17">
        <v>0</v>
      </c>
      <c r="R46" s="71">
        <v>0.2</v>
      </c>
      <c r="S46" s="17">
        <v>0.45</v>
      </c>
      <c r="T46" s="1" t="s">
        <v>108</v>
      </c>
      <c r="U46" s="5">
        <v>0.45</v>
      </c>
      <c r="V46" s="5">
        <f t="shared" si="18"/>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v>0</v>
      </c>
      <c r="K47" s="5" t="s">
        <v>105</v>
      </c>
      <c r="L47" s="21">
        <f t="shared" si="0"/>
        <v>10</v>
      </c>
      <c r="M47" s="21">
        <f t="shared" si="1"/>
        <v>10</v>
      </c>
      <c r="N47" s="21" t="s">
        <v>105</v>
      </c>
      <c r="O47" s="5">
        <v>12</v>
      </c>
      <c r="P47" s="18" t="s">
        <v>117</v>
      </c>
      <c r="Q47" s="17">
        <v>0</v>
      </c>
      <c r="R47" s="71">
        <v>0.2</v>
      </c>
      <c r="S47" s="17">
        <v>0.45</v>
      </c>
      <c r="T47" s="1" t="s">
        <v>108</v>
      </c>
      <c r="U47" s="5">
        <v>0.45</v>
      </c>
      <c r="V47" s="5">
        <f t="shared" si="18"/>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v>0</v>
      </c>
      <c r="K49" s="5" t="s">
        <v>105</v>
      </c>
      <c r="L49" s="21">
        <f t="shared" si="0"/>
        <v>10</v>
      </c>
      <c r="M49" s="21">
        <f t="shared" si="1"/>
        <v>10</v>
      </c>
      <c r="N49" s="21" t="s">
        <v>105</v>
      </c>
      <c r="O49" s="5">
        <v>12</v>
      </c>
      <c r="P49" s="18" t="s">
        <v>115</v>
      </c>
      <c r="Q49" s="17">
        <v>0</v>
      </c>
      <c r="R49" s="71">
        <v>0.2</v>
      </c>
      <c r="S49" s="17">
        <v>0.45</v>
      </c>
      <c r="T49" s="1" t="s">
        <v>108</v>
      </c>
      <c r="U49" s="5">
        <v>0.45</v>
      </c>
      <c r="V49" s="5">
        <f t="shared" si="18"/>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v>0</v>
      </c>
      <c r="K50" s="5" t="s">
        <v>105</v>
      </c>
      <c r="L50" s="21">
        <f t="shared" si="0"/>
        <v>10</v>
      </c>
      <c r="M50" s="21">
        <f t="shared" si="1"/>
        <v>10</v>
      </c>
      <c r="N50" s="21" t="s">
        <v>105</v>
      </c>
      <c r="O50" s="5">
        <v>12</v>
      </c>
      <c r="P50" s="18" t="s">
        <v>116</v>
      </c>
      <c r="Q50" s="17">
        <v>0</v>
      </c>
      <c r="R50" s="71">
        <v>0.2</v>
      </c>
      <c r="S50" s="17">
        <v>0.45</v>
      </c>
      <c r="T50" s="1" t="s">
        <v>108</v>
      </c>
      <c r="U50" s="5">
        <v>0.45</v>
      </c>
      <c r="V50" s="5">
        <f t="shared" si="18"/>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v>0</v>
      </c>
      <c r="K51" s="5" t="s">
        <v>105</v>
      </c>
      <c r="L51" s="21">
        <f t="shared" ref="L51:L61" si="19">inp_scr_min</f>
        <v>10</v>
      </c>
      <c r="M51" s="21">
        <f t="shared" ref="M51:M89" si="20">inp_xr_min</f>
        <v>10</v>
      </c>
      <c r="N51" s="21" t="s">
        <v>105</v>
      </c>
      <c r="O51" s="5">
        <v>12</v>
      </c>
      <c r="P51" s="18" t="s">
        <v>117</v>
      </c>
      <c r="Q51" s="17">
        <v>0</v>
      </c>
      <c r="R51" s="71">
        <v>0.2</v>
      </c>
      <c r="S51" s="17">
        <v>0.45</v>
      </c>
      <c r="T51" s="1" t="s">
        <v>108</v>
      </c>
      <c r="U51" s="5">
        <v>0.45</v>
      </c>
      <c r="V51" s="5">
        <f t="shared" si="18"/>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1">inp_Uc/inp_Un</f>
        <v>1.0651315789473685</v>
      </c>
      <c r="F54" s="5">
        <v>1</v>
      </c>
      <c r="G54" s="5" t="s">
        <v>105</v>
      </c>
      <c r="H54" s="5" t="s">
        <v>219</v>
      </c>
      <c r="I54" s="5" t="s">
        <v>105</v>
      </c>
      <c r="J54" s="5">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Custom_Fault_3_U0_1.065pu_OVRT_1.15</v>
      </c>
      <c r="E56" s="5">
        <f t="shared" ref="E56:E89" si="23">inp_Uc/inp_Un</f>
        <v>1.0651315789473685</v>
      </c>
      <c r="F56" s="5">
        <v>1</v>
      </c>
      <c r="G56" s="5" t="s">
        <v>105</v>
      </c>
      <c r="H56" s="5" t="s">
        <v>219</v>
      </c>
      <c r="I56" s="5" t="s">
        <v>21</v>
      </c>
      <c r="J56" s="5">
        <v>0</v>
      </c>
      <c r="K56" s="5" t="s">
        <v>105</v>
      </c>
      <c r="L56" s="21">
        <f t="shared" si="19"/>
        <v>10</v>
      </c>
      <c r="M56" s="21">
        <f t="shared" si="20"/>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Custom_Fault_3_U0_1.065pu_OVRT_1.20</v>
      </c>
      <c r="E57" s="5">
        <f t="shared" si="23"/>
        <v>1.0651315789473685</v>
      </c>
      <c r="F57" s="5">
        <v>1</v>
      </c>
      <c r="G57" s="5" t="s">
        <v>105</v>
      </c>
      <c r="H57" s="5" t="s">
        <v>219</v>
      </c>
      <c r="I57" s="5" t="s">
        <v>21</v>
      </c>
      <c r="J57" s="5">
        <v>0</v>
      </c>
      <c r="K57" s="5" t="s">
        <v>105</v>
      </c>
      <c r="L57" s="21">
        <f t="shared" si="19"/>
        <v>10</v>
      </c>
      <c r="M57" s="21">
        <f t="shared" si="20"/>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Custom_Fault_3_U0_1.065pu_OVRT_1.30</v>
      </c>
      <c r="E58" s="5">
        <f t="shared" si="23"/>
        <v>1.0651315789473685</v>
      </c>
      <c r="F58" s="5">
        <v>1</v>
      </c>
      <c r="G58" s="5" t="s">
        <v>105</v>
      </c>
      <c r="H58" s="5" t="s">
        <v>219</v>
      </c>
      <c r="I58" s="5" t="s">
        <v>21</v>
      </c>
      <c r="J58" s="5">
        <v>0</v>
      </c>
      <c r="K58" s="5" t="s">
        <v>105</v>
      </c>
      <c r="L58" s="21">
        <f t="shared" si="19"/>
        <v>10</v>
      </c>
      <c r="M58" s="21">
        <f t="shared" si="20"/>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Custom_Fault_3_U0_1.065pu_OVRT_1.15</v>
      </c>
      <c r="E59" s="5">
        <f t="shared" si="23"/>
        <v>1.0651315789473685</v>
      </c>
      <c r="F59" s="5">
        <v>1</v>
      </c>
      <c r="G59" s="5" t="s">
        <v>105</v>
      </c>
      <c r="H59" s="5" t="s">
        <v>219</v>
      </c>
      <c r="I59" s="5" t="s">
        <v>110</v>
      </c>
      <c r="J59" s="5">
        <v>0</v>
      </c>
      <c r="K59" s="5" t="s">
        <v>105</v>
      </c>
      <c r="L59" s="21">
        <f t="shared" si="19"/>
        <v>10</v>
      </c>
      <c r="M59" s="21">
        <f t="shared" si="20"/>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Custom_Fault_3_U0_1.065pu_OVRT_1.20</v>
      </c>
      <c r="E60" s="5">
        <f t="shared" si="23"/>
        <v>1.0651315789473685</v>
      </c>
      <c r="F60" s="5">
        <v>1</v>
      </c>
      <c r="G60" s="5" t="s">
        <v>105</v>
      </c>
      <c r="H60" s="5" t="s">
        <v>219</v>
      </c>
      <c r="I60" s="5" t="s">
        <v>110</v>
      </c>
      <c r="J60" s="5">
        <v>0</v>
      </c>
      <c r="K60" s="5" t="s">
        <v>105</v>
      </c>
      <c r="L60" s="21">
        <f t="shared" si="19"/>
        <v>10</v>
      </c>
      <c r="M60" s="21">
        <f t="shared" si="20"/>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Custom_Fault_3_U0_1.065pu_OVRT_1.30</v>
      </c>
      <c r="E61" s="5">
        <f t="shared" si="23"/>
        <v>1.0651315789473685</v>
      </c>
      <c r="F61" s="5">
        <v>1</v>
      </c>
      <c r="G61" s="5" t="s">
        <v>105</v>
      </c>
      <c r="H61" s="5" t="s">
        <v>219</v>
      </c>
      <c r="I61" s="5" t="s">
        <v>110</v>
      </c>
      <c r="J61" s="5">
        <v>0</v>
      </c>
      <c r="K61" s="5" t="s">
        <v>105</v>
      </c>
      <c r="L61" s="21">
        <f t="shared" si="19"/>
        <v>10</v>
      </c>
      <c r="M61" s="21">
        <f t="shared" si="20"/>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1.0651315789473685</v>
      </c>
      <c r="F62" s="5">
        <v>1</v>
      </c>
      <c r="G62" s="5" t="s">
        <v>105</v>
      </c>
      <c r="H62" s="5" t="s">
        <v>219</v>
      </c>
      <c r="I62" s="5" t="s">
        <v>105</v>
      </c>
      <c r="J62" s="5">
        <v>0</v>
      </c>
      <c r="K62" s="5" t="s">
        <v>105</v>
      </c>
      <c r="L62" s="21">
        <v>2</v>
      </c>
      <c r="M62" s="21">
        <f t="shared" si="20"/>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1.0651315789473685</v>
      </c>
      <c r="F63" s="5">
        <v>1</v>
      </c>
      <c r="G63" s="5" t="s">
        <v>105</v>
      </c>
      <c r="H63" s="5" t="s">
        <v>219</v>
      </c>
      <c r="I63" s="5" t="s">
        <v>105</v>
      </c>
      <c r="J63" s="5">
        <v>0</v>
      </c>
      <c r="K63" s="5" t="s">
        <v>105</v>
      </c>
      <c r="L63" s="21">
        <v>3</v>
      </c>
      <c r="M63" s="21">
        <f t="shared" si="20"/>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1.0651315789473685</v>
      </c>
      <c r="F64" s="5">
        <v>1</v>
      </c>
      <c r="G64" s="5" t="s">
        <v>105</v>
      </c>
      <c r="H64" s="5" t="s">
        <v>219</v>
      </c>
      <c r="I64" s="5" t="s">
        <v>105</v>
      </c>
      <c r="J64" s="5">
        <v>0</v>
      </c>
      <c r="K64" s="5" t="s">
        <v>105</v>
      </c>
      <c r="L64" s="21">
        <v>4</v>
      </c>
      <c r="M64" s="21">
        <f t="shared" si="20"/>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1.0651315789473685</v>
      </c>
      <c r="F65" s="5">
        <v>1</v>
      </c>
      <c r="G65" s="5" t="s">
        <v>105</v>
      </c>
      <c r="H65" s="5" t="s">
        <v>219</v>
      </c>
      <c r="I65" s="5" t="s">
        <v>105</v>
      </c>
      <c r="J65" s="5">
        <v>0</v>
      </c>
      <c r="K65" s="5" t="s">
        <v>105</v>
      </c>
      <c r="L65" s="21">
        <v>5</v>
      </c>
      <c r="M65" s="21">
        <f t="shared" si="20"/>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1.0651315789473685</v>
      </c>
      <c r="F66" s="5">
        <v>1</v>
      </c>
      <c r="G66" s="5" t="s">
        <v>105</v>
      </c>
      <c r="H66" s="5" t="s">
        <v>219</v>
      </c>
      <c r="I66" s="5" t="s">
        <v>105</v>
      </c>
      <c r="J66" s="5">
        <v>0</v>
      </c>
      <c r="K66" s="5" t="s">
        <v>105</v>
      </c>
      <c r="L66" s="21">
        <v>6</v>
      </c>
      <c r="M66" s="21">
        <f t="shared" si="20"/>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1.0651315789473685</v>
      </c>
      <c r="F67" s="5">
        <v>1</v>
      </c>
      <c r="G67" s="5" t="s">
        <v>105</v>
      </c>
      <c r="H67" s="5" t="s">
        <v>219</v>
      </c>
      <c r="I67" s="5" t="s">
        <v>105</v>
      </c>
      <c r="J67" s="5">
        <v>0</v>
      </c>
      <c r="K67" s="5" t="s">
        <v>105</v>
      </c>
      <c r="L67" s="21">
        <v>2</v>
      </c>
      <c r="M67" s="21">
        <f t="shared" si="20"/>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1.0651315789473685</v>
      </c>
      <c r="F68" s="5">
        <v>1</v>
      </c>
      <c r="G68" s="5" t="s">
        <v>105</v>
      </c>
      <c r="H68" s="5" t="s">
        <v>219</v>
      </c>
      <c r="I68" s="5" t="s">
        <v>105</v>
      </c>
      <c r="J68" s="5">
        <v>0</v>
      </c>
      <c r="K68" s="5" t="s">
        <v>105</v>
      </c>
      <c r="L68" s="21">
        <v>3</v>
      </c>
      <c r="M68" s="21">
        <f t="shared" si="20"/>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1.0651315789473685</v>
      </c>
      <c r="F69" s="5">
        <v>1</v>
      </c>
      <c r="G69" s="5" t="s">
        <v>105</v>
      </c>
      <c r="H69" s="5" t="s">
        <v>219</v>
      </c>
      <c r="I69" s="5" t="s">
        <v>105</v>
      </c>
      <c r="J69" s="5">
        <v>0</v>
      </c>
      <c r="K69" s="5" t="s">
        <v>105</v>
      </c>
      <c r="L69" s="21">
        <v>4</v>
      </c>
      <c r="M69" s="21">
        <f t="shared" si="20"/>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1.0651315789473685</v>
      </c>
      <c r="F70" s="5">
        <v>1</v>
      </c>
      <c r="G70" s="5" t="s">
        <v>105</v>
      </c>
      <c r="H70" s="5" t="s">
        <v>219</v>
      </c>
      <c r="I70" s="5" t="s">
        <v>105</v>
      </c>
      <c r="J70" s="5">
        <v>0</v>
      </c>
      <c r="K70" s="5" t="s">
        <v>105</v>
      </c>
      <c r="L70" s="21">
        <v>5</v>
      </c>
      <c r="M70" s="21">
        <f t="shared" si="20"/>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1.0651315789473685</v>
      </c>
      <c r="F71" s="5">
        <v>1</v>
      </c>
      <c r="G71" s="5" t="s">
        <v>105</v>
      </c>
      <c r="H71" s="5" t="s">
        <v>219</v>
      </c>
      <c r="I71" s="5" t="s">
        <v>105</v>
      </c>
      <c r="J71" s="5">
        <v>0</v>
      </c>
      <c r="K71" s="5" t="s">
        <v>105</v>
      </c>
      <c r="L71" s="21">
        <v>6</v>
      </c>
      <c r="M71" s="21">
        <f t="shared" si="20"/>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1.0651315789473685</v>
      </c>
      <c r="F72" s="5">
        <v>1</v>
      </c>
      <c r="G72" s="5" t="s">
        <v>105</v>
      </c>
      <c r="H72" s="5" t="s">
        <v>219</v>
      </c>
      <c r="I72" s="5" t="s">
        <v>105</v>
      </c>
      <c r="J72" s="5">
        <v>0</v>
      </c>
      <c r="K72" s="5" t="s">
        <v>105</v>
      </c>
      <c r="L72" s="21">
        <v>2</v>
      </c>
      <c r="M72" s="21">
        <f t="shared" si="20"/>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1.0651315789473685</v>
      </c>
      <c r="F73" s="5">
        <v>1</v>
      </c>
      <c r="G73" s="5" t="s">
        <v>105</v>
      </c>
      <c r="H73" s="5" t="s">
        <v>219</v>
      </c>
      <c r="I73" s="5" t="s">
        <v>105</v>
      </c>
      <c r="J73" s="5">
        <v>0</v>
      </c>
      <c r="K73" s="5" t="s">
        <v>105</v>
      </c>
      <c r="L73" s="21">
        <v>3</v>
      </c>
      <c r="M73" s="21">
        <f t="shared" si="20"/>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1.0651315789473685</v>
      </c>
      <c r="F74" s="5">
        <v>1</v>
      </c>
      <c r="G74" s="5" t="s">
        <v>105</v>
      </c>
      <c r="H74" s="5" t="s">
        <v>219</v>
      </c>
      <c r="I74" s="5" t="s">
        <v>105</v>
      </c>
      <c r="J74" s="5">
        <v>0</v>
      </c>
      <c r="K74" s="5" t="s">
        <v>105</v>
      </c>
      <c r="L74" s="21">
        <v>4</v>
      </c>
      <c r="M74" s="21">
        <f t="shared" si="20"/>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1.0651315789473685</v>
      </c>
      <c r="F75" s="5">
        <v>1</v>
      </c>
      <c r="G75" s="5" t="s">
        <v>105</v>
      </c>
      <c r="H75" s="5" t="s">
        <v>219</v>
      </c>
      <c r="I75" s="5" t="s">
        <v>105</v>
      </c>
      <c r="J75" s="5">
        <v>0</v>
      </c>
      <c r="K75" s="5" t="s">
        <v>105</v>
      </c>
      <c r="L75" s="21">
        <v>5</v>
      </c>
      <c r="M75" s="21">
        <f t="shared" si="20"/>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1.0651315789473685</v>
      </c>
      <c r="F76" s="5">
        <v>1</v>
      </c>
      <c r="G76" s="5" t="s">
        <v>105</v>
      </c>
      <c r="H76" s="5" t="s">
        <v>219</v>
      </c>
      <c r="I76" s="5" t="s">
        <v>105</v>
      </c>
      <c r="J76" s="5">
        <v>0</v>
      </c>
      <c r="K76" s="5" t="s">
        <v>105</v>
      </c>
      <c r="L76" s="21">
        <v>6</v>
      </c>
      <c r="M76" s="21">
        <f t="shared" si="20"/>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1.0651315789473685</v>
      </c>
      <c r="F77" s="5">
        <v>1</v>
      </c>
      <c r="G77" s="5" t="s">
        <v>105</v>
      </c>
      <c r="H77" s="5" t="s">
        <v>219</v>
      </c>
      <c r="I77" s="5" t="s">
        <v>105</v>
      </c>
      <c r="J77" s="5">
        <v>0</v>
      </c>
      <c r="K77" s="5" t="s">
        <v>105</v>
      </c>
      <c r="L77" s="21">
        <v>2</v>
      </c>
      <c r="M77" s="21">
        <f t="shared" si="20"/>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1.0651315789473685</v>
      </c>
      <c r="F78" s="5">
        <v>1</v>
      </c>
      <c r="G78" s="5" t="s">
        <v>105</v>
      </c>
      <c r="H78" s="5" t="s">
        <v>219</v>
      </c>
      <c r="I78" s="5" t="s">
        <v>105</v>
      </c>
      <c r="J78" s="5">
        <v>0</v>
      </c>
      <c r="K78" s="5" t="s">
        <v>105</v>
      </c>
      <c r="L78" s="21">
        <v>3</v>
      </c>
      <c r="M78" s="21">
        <f t="shared" si="20"/>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1.0651315789473685</v>
      </c>
      <c r="F79" s="5">
        <v>1</v>
      </c>
      <c r="G79" s="5" t="s">
        <v>105</v>
      </c>
      <c r="H79" s="5" t="s">
        <v>219</v>
      </c>
      <c r="I79" s="5" t="s">
        <v>105</v>
      </c>
      <c r="J79" s="5">
        <v>0</v>
      </c>
      <c r="K79" s="5" t="s">
        <v>105</v>
      </c>
      <c r="L79" s="21">
        <v>4</v>
      </c>
      <c r="M79" s="21">
        <f t="shared" si="20"/>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1.0651315789473685</v>
      </c>
      <c r="F80" s="5">
        <v>1</v>
      </c>
      <c r="G80" s="5" t="s">
        <v>105</v>
      </c>
      <c r="H80" s="5" t="s">
        <v>219</v>
      </c>
      <c r="I80" s="5" t="s">
        <v>105</v>
      </c>
      <c r="J80" s="5">
        <v>0</v>
      </c>
      <c r="K80" s="5" t="s">
        <v>105</v>
      </c>
      <c r="L80" s="21">
        <v>5</v>
      </c>
      <c r="M80" s="21">
        <f t="shared" si="20"/>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1.0651315789473685</v>
      </c>
      <c r="F81" s="5">
        <v>1</v>
      </c>
      <c r="G81" s="5" t="s">
        <v>105</v>
      </c>
      <c r="H81" s="5" t="s">
        <v>219</v>
      </c>
      <c r="I81" s="5" t="s">
        <v>105</v>
      </c>
      <c r="J81" s="5">
        <v>0</v>
      </c>
      <c r="K81" s="5" t="s">
        <v>105</v>
      </c>
      <c r="L81" s="21">
        <v>6</v>
      </c>
      <c r="M81" s="21">
        <f t="shared" si="20"/>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1.0651315789473685</v>
      </c>
      <c r="F82" s="5">
        <v>1</v>
      </c>
      <c r="G82" s="5" t="s">
        <v>105</v>
      </c>
      <c r="H82" s="5" t="s">
        <v>219</v>
      </c>
      <c r="I82" s="5" t="s">
        <v>105</v>
      </c>
      <c r="J82" s="5">
        <v>0</v>
      </c>
      <c r="K82" s="5" t="s">
        <v>105</v>
      </c>
      <c r="L82" s="21">
        <f t="shared" ref="L82:L89" si="26">inp_scr_min</f>
        <v>10</v>
      </c>
      <c r="M82" s="21">
        <f t="shared" si="20"/>
        <v>10</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1.0651315789473685</v>
      </c>
      <c r="F83" s="5">
        <v>1</v>
      </c>
      <c r="G83" s="5" t="s">
        <v>105</v>
      </c>
      <c r="H83" s="5" t="s">
        <v>219</v>
      </c>
      <c r="I83" s="5" t="s">
        <v>105</v>
      </c>
      <c r="J83" s="5">
        <v>0</v>
      </c>
      <c r="K83" s="5" t="s">
        <v>105</v>
      </c>
      <c r="L83" s="21">
        <f t="shared" si="26"/>
        <v>10</v>
      </c>
      <c r="M83" s="21">
        <f t="shared" si="20"/>
        <v>10</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1.0651315789473685</v>
      </c>
      <c r="F84" s="5">
        <v>1</v>
      </c>
      <c r="G84" s="5" t="s">
        <v>105</v>
      </c>
      <c r="H84" s="5" t="s">
        <v>219</v>
      </c>
      <c r="I84" s="5" t="s">
        <v>105</v>
      </c>
      <c r="J84" s="5">
        <v>0</v>
      </c>
      <c r="K84" s="5" t="s">
        <v>105</v>
      </c>
      <c r="L84" s="21">
        <f t="shared" si="26"/>
        <v>10</v>
      </c>
      <c r="M84" s="21">
        <f t="shared" si="20"/>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1.0651315789473685</v>
      </c>
      <c r="F85" s="5">
        <v>1</v>
      </c>
      <c r="G85" s="5" t="s">
        <v>105</v>
      </c>
      <c r="H85" s="5" t="s">
        <v>219</v>
      </c>
      <c r="I85" s="5" t="s">
        <v>105</v>
      </c>
      <c r="J85" s="5">
        <v>0</v>
      </c>
      <c r="K85" s="5" t="s">
        <v>105</v>
      </c>
      <c r="L85" s="21">
        <f t="shared" si="26"/>
        <v>10</v>
      </c>
      <c r="M85" s="21">
        <f t="shared" si="20"/>
        <v>10</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1.0651315789473685</v>
      </c>
      <c r="F86" s="5">
        <v>1</v>
      </c>
      <c r="G86" s="5" t="s">
        <v>105</v>
      </c>
      <c r="H86" s="5" t="s">
        <v>219</v>
      </c>
      <c r="I86" s="5" t="s">
        <v>105</v>
      </c>
      <c r="J86" s="5">
        <v>0</v>
      </c>
      <c r="K86" s="5" t="s">
        <v>105</v>
      </c>
      <c r="L86" s="21">
        <f t="shared" si="26"/>
        <v>10</v>
      </c>
      <c r="M86" s="21">
        <f t="shared" si="20"/>
        <v>10</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1.0651315789473685</v>
      </c>
      <c r="F87" s="5">
        <v>1</v>
      </c>
      <c r="G87" s="5" t="s">
        <v>105</v>
      </c>
      <c r="H87" s="5" t="s">
        <v>219</v>
      </c>
      <c r="I87" s="5" t="s">
        <v>105</v>
      </c>
      <c r="J87" s="5">
        <v>0</v>
      </c>
      <c r="K87" s="5" t="s">
        <v>105</v>
      </c>
      <c r="L87" s="21">
        <f t="shared" si="26"/>
        <v>10</v>
      </c>
      <c r="M87" s="21">
        <f t="shared" si="20"/>
        <v>10</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1.0651315789473685</v>
      </c>
      <c r="F88" s="5">
        <v>1</v>
      </c>
      <c r="G88" s="5" t="s">
        <v>105</v>
      </c>
      <c r="H88" s="5" t="s">
        <v>219</v>
      </c>
      <c r="I88" s="5" t="s">
        <v>105</v>
      </c>
      <c r="J88" s="5">
        <v>0</v>
      </c>
      <c r="K88" s="5" t="s">
        <v>105</v>
      </c>
      <c r="L88" s="21">
        <f t="shared" si="26"/>
        <v>10</v>
      </c>
      <c r="M88" s="21">
        <f t="shared" si="20"/>
        <v>10</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1.0651315789473685</v>
      </c>
      <c r="F89" s="5">
        <v>1</v>
      </c>
      <c r="G89" s="5" t="s">
        <v>105</v>
      </c>
      <c r="H89" s="5" t="s">
        <v>219</v>
      </c>
      <c r="I89" s="5" t="s">
        <v>105</v>
      </c>
      <c r="J89" s="5">
        <v>0</v>
      </c>
      <c r="K89" s="5" t="s">
        <v>105</v>
      </c>
      <c r="L89" s="21">
        <f t="shared" si="26"/>
        <v>10</v>
      </c>
      <c r="M89" s="21">
        <f t="shared" si="20"/>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8" t="s">
        <v>89</v>
      </c>
      <c r="B1" s="13" t="s">
        <v>92</v>
      </c>
      <c r="C1" s="329" t="s">
        <v>480</v>
      </c>
      <c r="D1" s="333" t="s">
        <v>0</v>
      </c>
    </row>
    <row r="2" spans="1:4" ht="15" customHeight="1" x14ac:dyDescent="0.25">
      <c r="A2" s="326">
        <v>1</v>
      </c>
      <c r="B2" s="326" t="s">
        <v>553</v>
      </c>
      <c r="C2" s="402" t="s">
        <v>361</v>
      </c>
      <c r="D2" s="146" t="s">
        <v>362</v>
      </c>
    </row>
    <row r="3" spans="1:4" x14ac:dyDescent="0.25">
      <c r="A3" s="327">
        <v>2</v>
      </c>
      <c r="B3" s="327" t="s">
        <v>554</v>
      </c>
      <c r="C3" s="403"/>
      <c r="D3" s="139" t="s">
        <v>363</v>
      </c>
    </row>
    <row r="4" spans="1:4" x14ac:dyDescent="0.25">
      <c r="A4" s="327">
        <v>3</v>
      </c>
      <c r="B4" s="327" t="s">
        <v>555</v>
      </c>
      <c r="C4" s="403"/>
      <c r="D4" s="139" t="s">
        <v>10</v>
      </c>
    </row>
    <row r="5" spans="1:4" x14ac:dyDescent="0.25">
      <c r="A5" s="327">
        <v>4</v>
      </c>
      <c r="B5" s="327" t="s">
        <v>556</v>
      </c>
      <c r="C5" s="403"/>
      <c r="D5" s="139" t="s">
        <v>10</v>
      </c>
    </row>
    <row r="6" spans="1:4" x14ac:dyDescent="0.25">
      <c r="A6" s="327">
        <v>5</v>
      </c>
      <c r="B6" s="327" t="s">
        <v>557</v>
      </c>
      <c r="C6" s="403"/>
      <c r="D6" s="139" t="s">
        <v>10</v>
      </c>
    </row>
    <row r="7" spans="1:4" x14ac:dyDescent="0.25">
      <c r="A7" s="327">
        <v>6</v>
      </c>
      <c r="B7" s="327" t="s">
        <v>558</v>
      </c>
      <c r="C7" s="403"/>
      <c r="D7" s="139" t="s">
        <v>10</v>
      </c>
    </row>
    <row r="8" spans="1:4" x14ac:dyDescent="0.25">
      <c r="A8" s="327">
        <v>7</v>
      </c>
      <c r="B8" s="327" t="s">
        <v>559</v>
      </c>
      <c r="C8" s="403"/>
      <c r="D8" s="139" t="s">
        <v>10</v>
      </c>
    </row>
    <row r="9" spans="1:4" x14ac:dyDescent="0.25">
      <c r="A9" s="327">
        <v>8</v>
      </c>
      <c r="B9" s="327" t="s">
        <v>560</v>
      </c>
      <c r="C9" s="403"/>
      <c r="D9" s="139" t="s">
        <v>10</v>
      </c>
    </row>
    <row r="10" spans="1:4" x14ac:dyDescent="0.25">
      <c r="A10" s="327">
        <v>9</v>
      </c>
      <c r="B10" s="327" t="s">
        <v>562</v>
      </c>
      <c r="C10" s="403"/>
      <c r="D10" s="139" t="s">
        <v>10</v>
      </c>
    </row>
    <row r="11" spans="1:4" ht="15.75" thickBot="1" x14ac:dyDescent="0.3">
      <c r="A11" s="205">
        <v>10</v>
      </c>
      <c r="B11" s="205" t="s">
        <v>561</v>
      </c>
      <c r="C11" s="404"/>
      <c r="D11" s="143" t="s">
        <v>10</v>
      </c>
    </row>
    <row r="12" spans="1:4" x14ac:dyDescent="0.25">
      <c r="A12" s="129">
        <v>11</v>
      </c>
      <c r="B12" s="129" t="s">
        <v>563</v>
      </c>
      <c r="C12" s="402" t="s">
        <v>364</v>
      </c>
      <c r="D12" s="146" t="s">
        <v>365</v>
      </c>
    </row>
    <row r="13" spans="1:4" x14ac:dyDescent="0.25">
      <c r="A13" s="130">
        <v>12</v>
      </c>
      <c r="B13" s="130" t="s">
        <v>564</v>
      </c>
      <c r="C13" s="403"/>
      <c r="D13" s="139" t="s">
        <v>366</v>
      </c>
    </row>
    <row r="14" spans="1:4" x14ac:dyDescent="0.25">
      <c r="A14" s="130">
        <v>13</v>
      </c>
      <c r="B14" s="130" t="s">
        <v>565</v>
      </c>
      <c r="C14" s="403"/>
      <c r="D14" s="139" t="s">
        <v>10</v>
      </c>
    </row>
    <row r="15" spans="1:4" x14ac:dyDescent="0.25">
      <c r="A15" s="130">
        <v>14</v>
      </c>
      <c r="B15" s="130" t="s">
        <v>566</v>
      </c>
      <c r="C15" s="403"/>
      <c r="D15" s="139" t="s">
        <v>10</v>
      </c>
    </row>
    <row r="16" spans="1:4" x14ac:dyDescent="0.25">
      <c r="A16" s="130">
        <v>15</v>
      </c>
      <c r="B16" s="130" t="s">
        <v>567</v>
      </c>
      <c r="C16" s="403"/>
      <c r="D16" s="139" t="s">
        <v>10</v>
      </c>
    </row>
    <row r="17" spans="1:4" ht="15.75" thickBot="1" x14ac:dyDescent="0.3">
      <c r="A17" s="131">
        <v>16</v>
      </c>
      <c r="B17" s="131" t="s">
        <v>568</v>
      </c>
      <c r="C17" s="404"/>
      <c r="D17" s="143" t="s">
        <v>10</v>
      </c>
    </row>
    <row r="18" spans="1:4" x14ac:dyDescent="0.25">
      <c r="A18" s="132">
        <v>17</v>
      </c>
      <c r="B18" s="132" t="s">
        <v>569</v>
      </c>
      <c r="C18" s="402" t="s">
        <v>107</v>
      </c>
      <c r="D18" s="146" t="s">
        <v>367</v>
      </c>
    </row>
    <row r="19" spans="1:4" x14ac:dyDescent="0.25">
      <c r="A19" s="134">
        <v>18</v>
      </c>
      <c r="B19" s="134" t="s">
        <v>570</v>
      </c>
      <c r="C19" s="403"/>
      <c r="D19" s="139" t="s">
        <v>368</v>
      </c>
    </row>
    <row r="20" spans="1:4" x14ac:dyDescent="0.25">
      <c r="A20" s="133">
        <v>19</v>
      </c>
      <c r="B20" s="133" t="s">
        <v>571</v>
      </c>
      <c r="C20" s="403"/>
      <c r="D20" s="139" t="s">
        <v>369</v>
      </c>
    </row>
    <row r="21" spans="1:4" x14ac:dyDescent="0.25">
      <c r="A21" s="133">
        <v>20</v>
      </c>
      <c r="B21" s="133" t="s">
        <v>572</v>
      </c>
      <c r="C21" s="403"/>
      <c r="D21" s="139" t="s">
        <v>370</v>
      </c>
    </row>
    <row r="22" spans="1:4" x14ac:dyDescent="0.25">
      <c r="A22" s="133">
        <v>21</v>
      </c>
      <c r="B22" s="133" t="s">
        <v>573</v>
      </c>
      <c r="C22" s="403"/>
      <c r="D22" s="139" t="s">
        <v>371</v>
      </c>
    </row>
    <row r="23" spans="1:4" x14ac:dyDescent="0.25">
      <c r="A23" s="133">
        <v>22</v>
      </c>
      <c r="B23" s="133" t="s">
        <v>574</v>
      </c>
      <c r="C23" s="403"/>
      <c r="D23" s="139" t="s">
        <v>372</v>
      </c>
    </row>
    <row r="24" spans="1:4" x14ac:dyDescent="0.25">
      <c r="A24" s="133">
        <v>23</v>
      </c>
      <c r="B24" s="133" t="s">
        <v>575</v>
      </c>
      <c r="C24" s="403"/>
      <c r="D24" s="139" t="s">
        <v>10</v>
      </c>
    </row>
    <row r="25" spans="1:4" x14ac:dyDescent="0.25">
      <c r="A25" s="133">
        <v>24</v>
      </c>
      <c r="B25" s="133" t="s">
        <v>576</v>
      </c>
      <c r="C25" s="403"/>
      <c r="D25" s="139" t="s">
        <v>373</v>
      </c>
    </row>
    <row r="26" spans="1:4" x14ac:dyDescent="0.25">
      <c r="A26" s="133">
        <v>25</v>
      </c>
      <c r="B26" s="133" t="s">
        <v>577</v>
      </c>
      <c r="C26" s="403"/>
      <c r="D26" s="139" t="s">
        <v>10</v>
      </c>
    </row>
    <row r="27" spans="1:4" ht="15" customHeight="1" x14ac:dyDescent="0.25">
      <c r="A27" s="134">
        <v>26</v>
      </c>
      <c r="B27" s="134" t="s">
        <v>637</v>
      </c>
      <c r="C27" s="403"/>
      <c r="D27" s="139" t="s">
        <v>374</v>
      </c>
    </row>
    <row r="28" spans="1:4" ht="15.75" thickBot="1" x14ac:dyDescent="0.3">
      <c r="A28" s="134">
        <v>27</v>
      </c>
      <c r="B28" s="134" t="s">
        <v>638</v>
      </c>
      <c r="C28" s="404"/>
      <c r="D28" s="139" t="s">
        <v>375</v>
      </c>
    </row>
    <row r="29" spans="1:4" ht="30" customHeight="1" x14ac:dyDescent="0.25">
      <c r="A29" s="136">
        <v>28</v>
      </c>
      <c r="B29" s="136" t="s">
        <v>578</v>
      </c>
      <c r="C29" s="402" t="s">
        <v>376</v>
      </c>
      <c r="D29" s="146" t="s">
        <v>377</v>
      </c>
    </row>
    <row r="30" spans="1:4" ht="60" x14ac:dyDescent="0.25">
      <c r="A30" s="137">
        <v>29</v>
      </c>
      <c r="B30" s="137" t="s">
        <v>579</v>
      </c>
      <c r="C30" s="403"/>
      <c r="D30" s="139" t="s">
        <v>489</v>
      </c>
    </row>
    <row r="31" spans="1:4" x14ac:dyDescent="0.25">
      <c r="A31" s="138">
        <v>30</v>
      </c>
      <c r="B31" s="138" t="s">
        <v>580</v>
      </c>
      <c r="C31" s="403"/>
      <c r="D31" s="139" t="s">
        <v>378</v>
      </c>
    </row>
    <row r="32" spans="1:4" x14ac:dyDescent="0.25">
      <c r="A32" s="138">
        <v>31</v>
      </c>
      <c r="B32" s="138" t="s">
        <v>581</v>
      </c>
      <c r="C32" s="403"/>
      <c r="D32" s="139" t="s">
        <v>379</v>
      </c>
    </row>
    <row r="33" spans="1:8" ht="45" x14ac:dyDescent="0.25">
      <c r="A33" s="138">
        <v>32</v>
      </c>
      <c r="B33" s="138" t="s">
        <v>582</v>
      </c>
      <c r="C33" s="403"/>
      <c r="D33" s="139" t="s">
        <v>380</v>
      </c>
    </row>
    <row r="34" spans="1:8" x14ac:dyDescent="0.25">
      <c r="A34" s="137">
        <v>33</v>
      </c>
      <c r="B34" s="137" t="s">
        <v>583</v>
      </c>
      <c r="C34" s="403"/>
      <c r="D34" s="139" t="s">
        <v>381</v>
      </c>
    </row>
    <row r="35" spans="1:8" x14ac:dyDescent="0.25">
      <c r="A35" s="138">
        <v>34</v>
      </c>
      <c r="B35" s="138" t="s">
        <v>584</v>
      </c>
      <c r="C35" s="403"/>
      <c r="D35" s="139" t="s">
        <v>382</v>
      </c>
    </row>
    <row r="36" spans="1:8" x14ac:dyDescent="0.25">
      <c r="A36" s="137">
        <v>35</v>
      </c>
      <c r="B36" s="137" t="s">
        <v>585</v>
      </c>
      <c r="C36" s="403"/>
      <c r="D36" s="139" t="s">
        <v>382</v>
      </c>
    </row>
    <row r="37" spans="1:8" x14ac:dyDescent="0.25">
      <c r="A37" s="138">
        <v>36</v>
      </c>
      <c r="B37" s="138" t="s">
        <v>586</v>
      </c>
      <c r="C37" s="403"/>
      <c r="D37" s="139" t="s">
        <v>383</v>
      </c>
    </row>
    <row r="38" spans="1:8" x14ac:dyDescent="0.25">
      <c r="A38" s="137">
        <v>37</v>
      </c>
      <c r="B38" s="137" t="s">
        <v>587</v>
      </c>
      <c r="C38" s="403"/>
      <c r="D38" s="139" t="s">
        <v>383</v>
      </c>
    </row>
    <row r="39" spans="1:8" ht="45" x14ac:dyDescent="0.25">
      <c r="A39" s="138">
        <v>38</v>
      </c>
      <c r="B39" s="138" t="s">
        <v>588</v>
      </c>
      <c r="C39" s="403"/>
      <c r="D39" s="139" t="s">
        <v>485</v>
      </c>
    </row>
    <row r="40" spans="1:8" ht="15" customHeight="1" x14ac:dyDescent="0.25">
      <c r="A40" s="137">
        <v>39</v>
      </c>
      <c r="B40" s="137" t="s">
        <v>589</v>
      </c>
      <c r="C40" s="403"/>
      <c r="D40" s="139" t="s">
        <v>384</v>
      </c>
    </row>
    <row r="41" spans="1:8" x14ac:dyDescent="0.25">
      <c r="A41" s="138">
        <v>40</v>
      </c>
      <c r="B41" s="138" t="s">
        <v>590</v>
      </c>
      <c r="C41" s="403"/>
      <c r="D41" s="139" t="s">
        <v>385</v>
      </c>
    </row>
    <row r="42" spans="1:8" ht="75" x14ac:dyDescent="0.25">
      <c r="A42" s="137">
        <v>41</v>
      </c>
      <c r="B42" s="137" t="s">
        <v>591</v>
      </c>
      <c r="C42" s="403"/>
      <c r="D42" s="139" t="s">
        <v>386</v>
      </c>
    </row>
    <row r="43" spans="1:8" ht="30.75" thickBot="1" x14ac:dyDescent="0.3">
      <c r="A43" s="141">
        <v>42</v>
      </c>
      <c r="B43" s="141" t="s">
        <v>592</v>
      </c>
      <c r="C43" s="404"/>
      <c r="D43" s="143" t="s">
        <v>387</v>
      </c>
      <c r="H43" s="144"/>
    </row>
    <row r="44" spans="1:8" ht="30" customHeight="1" x14ac:dyDescent="0.25">
      <c r="A44" s="145">
        <v>43</v>
      </c>
      <c r="B44" s="145" t="s">
        <v>593</v>
      </c>
      <c r="C44" s="402" t="s">
        <v>388</v>
      </c>
      <c r="D44" s="146" t="s">
        <v>389</v>
      </c>
    </row>
    <row r="45" spans="1:8" x14ac:dyDescent="0.25">
      <c r="A45" s="147">
        <v>44</v>
      </c>
      <c r="B45" s="147" t="s">
        <v>594</v>
      </c>
      <c r="C45" s="403"/>
      <c r="D45" s="139" t="s">
        <v>10</v>
      </c>
    </row>
    <row r="46" spans="1:8" x14ac:dyDescent="0.25">
      <c r="A46" s="147">
        <v>45</v>
      </c>
      <c r="B46" s="147" t="s">
        <v>595</v>
      </c>
      <c r="C46" s="403"/>
      <c r="D46" s="139" t="s">
        <v>389</v>
      </c>
    </row>
    <row r="47" spans="1:8" ht="30" x14ac:dyDescent="0.25">
      <c r="A47" s="147">
        <v>46</v>
      </c>
      <c r="B47" s="147" t="s">
        <v>596</v>
      </c>
      <c r="C47" s="403"/>
      <c r="D47" s="139" t="s">
        <v>390</v>
      </c>
    </row>
    <row r="48" spans="1:8" x14ac:dyDescent="0.25">
      <c r="A48" s="147">
        <v>47</v>
      </c>
      <c r="B48" s="147" t="s">
        <v>597</v>
      </c>
      <c r="C48" s="403"/>
      <c r="D48" s="139" t="s">
        <v>10</v>
      </c>
    </row>
    <row r="49" spans="1:4" x14ac:dyDescent="0.25">
      <c r="A49" s="147">
        <v>48</v>
      </c>
      <c r="B49" s="147" t="s">
        <v>598</v>
      </c>
      <c r="C49" s="403"/>
      <c r="D49" s="139" t="s">
        <v>391</v>
      </c>
    </row>
    <row r="50" spans="1:4" x14ac:dyDescent="0.25">
      <c r="A50" s="147">
        <v>49</v>
      </c>
      <c r="B50" s="147" t="s">
        <v>599</v>
      </c>
      <c r="C50" s="403"/>
      <c r="D50" s="139" t="s">
        <v>10</v>
      </c>
    </row>
    <row r="51" spans="1:4" ht="30" x14ac:dyDescent="0.25">
      <c r="A51" s="147">
        <v>50</v>
      </c>
      <c r="B51" s="147" t="s">
        <v>600</v>
      </c>
      <c r="C51" s="403"/>
      <c r="D51" s="139" t="s">
        <v>490</v>
      </c>
    </row>
    <row r="52" spans="1:4" ht="30" x14ac:dyDescent="0.25">
      <c r="A52" s="147">
        <v>51</v>
      </c>
      <c r="B52" s="147" t="s">
        <v>601</v>
      </c>
      <c r="C52" s="403"/>
      <c r="D52" s="139" t="s">
        <v>390</v>
      </c>
    </row>
    <row r="53" spans="1:4" ht="15.75" thickBot="1" x14ac:dyDescent="0.3">
      <c r="A53" s="148">
        <v>52</v>
      </c>
      <c r="B53" s="148" t="s">
        <v>602</v>
      </c>
      <c r="C53" s="404"/>
      <c r="D53" s="143" t="s">
        <v>10</v>
      </c>
    </row>
    <row r="54" spans="1:4" ht="45" x14ac:dyDescent="0.25">
      <c r="A54" s="149">
        <v>53</v>
      </c>
      <c r="B54" s="149" t="s">
        <v>603</v>
      </c>
      <c r="C54" s="402" t="s">
        <v>392</v>
      </c>
      <c r="D54" s="139" t="s">
        <v>393</v>
      </c>
    </row>
    <row r="55" spans="1:4" x14ac:dyDescent="0.25">
      <c r="A55" s="149">
        <v>54</v>
      </c>
      <c r="B55" s="149" t="s">
        <v>604</v>
      </c>
      <c r="C55" s="403"/>
      <c r="D55" s="139" t="s">
        <v>394</v>
      </c>
    </row>
    <row r="56" spans="1:4" x14ac:dyDescent="0.25">
      <c r="A56" s="149">
        <v>55</v>
      </c>
      <c r="B56" s="149" t="s">
        <v>738</v>
      </c>
      <c r="C56" s="403"/>
      <c r="D56" s="139" t="s">
        <v>395</v>
      </c>
    </row>
    <row r="57" spans="1:4" ht="15.75" thickBot="1" x14ac:dyDescent="0.3">
      <c r="A57" s="149">
        <v>56</v>
      </c>
      <c r="B57" s="149" t="s">
        <v>727</v>
      </c>
      <c r="C57" s="404"/>
      <c r="D57" s="139" t="s">
        <v>396</v>
      </c>
    </row>
    <row r="58" spans="1:4" ht="30" x14ac:dyDescent="0.25">
      <c r="A58" s="194">
        <v>57</v>
      </c>
      <c r="B58" s="194" t="s">
        <v>733</v>
      </c>
      <c r="C58" s="402" t="s">
        <v>397</v>
      </c>
      <c r="D58" s="146" t="s">
        <v>543</v>
      </c>
    </row>
    <row r="59" spans="1:4" ht="30" x14ac:dyDescent="0.25">
      <c r="A59" s="236">
        <v>58</v>
      </c>
      <c r="B59" s="236" t="s">
        <v>734</v>
      </c>
      <c r="C59" s="403"/>
      <c r="D59" s="238" t="s">
        <v>542</v>
      </c>
    </row>
    <row r="60" spans="1:4" ht="105.75" thickBot="1" x14ac:dyDescent="0.3">
      <c r="A60" s="150">
        <v>59</v>
      </c>
      <c r="B60" s="150" t="s">
        <v>735</v>
      </c>
      <c r="C60" s="404"/>
      <c r="D60" s="143" t="s">
        <v>488</v>
      </c>
    </row>
    <row r="61" spans="1:4" x14ac:dyDescent="0.25">
      <c r="A61" s="151">
        <v>60</v>
      </c>
      <c r="B61" s="151" t="s">
        <v>605</v>
      </c>
      <c r="C61" s="402" t="s">
        <v>398</v>
      </c>
      <c r="D61" s="139" t="s">
        <v>399</v>
      </c>
    </row>
    <row r="62" spans="1:4" x14ac:dyDescent="0.25">
      <c r="A62" s="151">
        <v>61</v>
      </c>
      <c r="B62" s="151" t="s">
        <v>606</v>
      </c>
      <c r="C62" s="403"/>
      <c r="D62" s="139" t="s">
        <v>400</v>
      </c>
    </row>
    <row r="63" spans="1:4" x14ac:dyDescent="0.25">
      <c r="A63" s="151">
        <v>62</v>
      </c>
      <c r="B63" s="151" t="s">
        <v>607</v>
      </c>
      <c r="C63" s="403"/>
      <c r="D63" s="139" t="s">
        <v>401</v>
      </c>
    </row>
    <row r="64" spans="1:4" x14ac:dyDescent="0.25">
      <c r="A64" s="151">
        <v>63</v>
      </c>
      <c r="B64" s="151" t="s">
        <v>608</v>
      </c>
      <c r="C64" s="403"/>
      <c r="D64" s="139" t="s">
        <v>402</v>
      </c>
    </row>
    <row r="65" spans="1:4" x14ac:dyDescent="0.25">
      <c r="A65" s="151">
        <v>64</v>
      </c>
      <c r="B65" s="151" t="s">
        <v>609</v>
      </c>
      <c r="C65" s="403"/>
      <c r="D65" s="139" t="s">
        <v>403</v>
      </c>
    </row>
    <row r="66" spans="1:4" x14ac:dyDescent="0.25">
      <c r="A66" s="151">
        <v>65</v>
      </c>
      <c r="B66" s="151" t="s">
        <v>610</v>
      </c>
      <c r="C66" s="403"/>
      <c r="D66" s="139" t="s">
        <v>404</v>
      </c>
    </row>
    <row r="67" spans="1:4" x14ac:dyDescent="0.25">
      <c r="A67" s="151">
        <v>66</v>
      </c>
      <c r="B67" s="151" t="s">
        <v>611</v>
      </c>
      <c r="C67" s="403"/>
      <c r="D67" s="139" t="s">
        <v>405</v>
      </c>
    </row>
    <row r="68" spans="1:4" x14ac:dyDescent="0.25">
      <c r="A68" s="151">
        <v>67</v>
      </c>
      <c r="B68" s="151" t="s">
        <v>725</v>
      </c>
      <c r="C68" s="403"/>
      <c r="D68" s="139" t="s">
        <v>498</v>
      </c>
    </row>
    <row r="69" spans="1:4" x14ac:dyDescent="0.25">
      <c r="A69" s="201">
        <v>68</v>
      </c>
      <c r="B69" s="201" t="s">
        <v>726</v>
      </c>
      <c r="C69" s="403"/>
      <c r="D69" s="139" t="s">
        <v>499</v>
      </c>
    </row>
    <row r="70" spans="1:4" ht="15.75" thickBot="1" x14ac:dyDescent="0.3">
      <c r="A70" s="152">
        <v>69</v>
      </c>
      <c r="B70" s="152" t="s">
        <v>612</v>
      </c>
      <c r="C70" s="404"/>
      <c r="D70" s="143" t="s">
        <v>406</v>
      </c>
    </row>
    <row r="71" spans="1:4" x14ac:dyDescent="0.25">
      <c r="A71" s="154">
        <v>70</v>
      </c>
      <c r="B71" s="154" t="s">
        <v>613</v>
      </c>
      <c r="C71" s="402" t="s">
        <v>407</v>
      </c>
      <c r="D71" s="146" t="s">
        <v>408</v>
      </c>
    </row>
    <row r="72" spans="1:4" x14ac:dyDescent="0.25">
      <c r="A72" s="155">
        <v>71</v>
      </c>
      <c r="B72" s="155" t="s">
        <v>614</v>
      </c>
      <c r="C72" s="403"/>
      <c r="D72" s="139" t="s">
        <v>10</v>
      </c>
    </row>
    <row r="73" spans="1:4" x14ac:dyDescent="0.25">
      <c r="A73" s="155">
        <v>72</v>
      </c>
      <c r="B73" s="155" t="s">
        <v>615</v>
      </c>
      <c r="C73" s="403"/>
      <c r="D73" s="139" t="s">
        <v>10</v>
      </c>
    </row>
    <row r="74" spans="1:4" x14ac:dyDescent="0.25">
      <c r="A74" s="155">
        <v>73</v>
      </c>
      <c r="B74" s="155" t="s">
        <v>616</v>
      </c>
      <c r="C74" s="403"/>
      <c r="D74" s="139" t="s">
        <v>10</v>
      </c>
    </row>
    <row r="75" spans="1:4" x14ac:dyDescent="0.25">
      <c r="A75" s="155">
        <v>74</v>
      </c>
      <c r="B75" s="155" t="s">
        <v>617</v>
      </c>
      <c r="C75" s="403"/>
      <c r="D75" s="139" t="s">
        <v>10</v>
      </c>
    </row>
    <row r="76" spans="1:4" x14ac:dyDescent="0.25">
      <c r="A76" s="155">
        <v>75</v>
      </c>
      <c r="B76" s="155" t="s">
        <v>618</v>
      </c>
      <c r="C76" s="403"/>
      <c r="D76" s="139" t="s">
        <v>409</v>
      </c>
    </row>
    <row r="77" spans="1:4" x14ac:dyDescent="0.25">
      <c r="A77" s="155">
        <v>76</v>
      </c>
      <c r="B77" s="155" t="s">
        <v>619</v>
      </c>
      <c r="C77" s="403"/>
      <c r="D77" s="139" t="s">
        <v>10</v>
      </c>
    </row>
    <row r="78" spans="1:4" x14ac:dyDescent="0.25">
      <c r="A78" s="155">
        <v>77</v>
      </c>
      <c r="B78" s="155" t="s">
        <v>620</v>
      </c>
      <c r="C78" s="403"/>
      <c r="D78" s="139" t="s">
        <v>10</v>
      </c>
    </row>
    <row r="79" spans="1:4" x14ac:dyDescent="0.25">
      <c r="A79" s="155">
        <v>78</v>
      </c>
      <c r="B79" s="155" t="s">
        <v>621</v>
      </c>
      <c r="C79" s="403"/>
      <c r="D79" s="139" t="s">
        <v>10</v>
      </c>
    </row>
    <row r="80" spans="1:4" x14ac:dyDescent="0.25">
      <c r="A80" s="155">
        <v>79</v>
      </c>
      <c r="B80" s="155" t="s">
        <v>622</v>
      </c>
      <c r="C80" s="403"/>
      <c r="D80" s="139" t="s">
        <v>10</v>
      </c>
    </row>
    <row r="81" spans="1:4" x14ac:dyDescent="0.25">
      <c r="A81" s="155">
        <v>80</v>
      </c>
      <c r="B81" s="155" t="s">
        <v>623</v>
      </c>
      <c r="C81" s="403"/>
      <c r="D81" s="139" t="s">
        <v>10</v>
      </c>
    </row>
    <row r="82" spans="1:4" x14ac:dyDescent="0.25">
      <c r="A82" s="155">
        <v>81</v>
      </c>
      <c r="B82" s="155" t="s">
        <v>624</v>
      </c>
      <c r="C82" s="403"/>
      <c r="D82" s="139" t="s">
        <v>409</v>
      </c>
    </row>
    <row r="83" spans="1:4" x14ac:dyDescent="0.25">
      <c r="A83" s="155">
        <v>82</v>
      </c>
      <c r="B83" s="155" t="s">
        <v>625</v>
      </c>
      <c r="C83" s="403"/>
      <c r="D83" s="139" t="s">
        <v>10</v>
      </c>
    </row>
    <row r="84" spans="1:4" x14ac:dyDescent="0.25">
      <c r="A84" s="155">
        <v>83</v>
      </c>
      <c r="B84" s="155" t="s">
        <v>626</v>
      </c>
      <c r="C84" s="403"/>
      <c r="D84" s="139" t="s">
        <v>10</v>
      </c>
    </row>
    <row r="85" spans="1:4" x14ac:dyDescent="0.25">
      <c r="A85" s="156">
        <v>84</v>
      </c>
      <c r="B85" s="156" t="s">
        <v>627</v>
      </c>
      <c r="C85" s="403"/>
      <c r="D85" s="139" t="s">
        <v>10</v>
      </c>
    </row>
    <row r="86" spans="1:4" x14ac:dyDescent="0.25">
      <c r="A86" s="156">
        <v>85</v>
      </c>
      <c r="B86" s="156" t="s">
        <v>628</v>
      </c>
      <c r="C86" s="403"/>
      <c r="D86" s="139" t="s">
        <v>10</v>
      </c>
    </row>
    <row r="87" spans="1:4" x14ac:dyDescent="0.25">
      <c r="A87" s="156">
        <v>86</v>
      </c>
      <c r="B87" s="156" t="s">
        <v>629</v>
      </c>
      <c r="C87" s="403"/>
      <c r="D87" s="139" t="s">
        <v>10</v>
      </c>
    </row>
    <row r="88" spans="1:4" x14ac:dyDescent="0.25">
      <c r="A88" s="156">
        <v>87</v>
      </c>
      <c r="B88" s="156" t="s">
        <v>630</v>
      </c>
      <c r="C88" s="403"/>
      <c r="D88" s="139" t="s">
        <v>409</v>
      </c>
    </row>
    <row r="89" spans="1:4" x14ac:dyDescent="0.25">
      <c r="A89" s="156">
        <v>88</v>
      </c>
      <c r="B89" s="156" t="s">
        <v>631</v>
      </c>
      <c r="C89" s="403"/>
      <c r="D89" s="139" t="s">
        <v>410</v>
      </c>
    </row>
    <row r="90" spans="1:4" x14ac:dyDescent="0.25">
      <c r="A90" s="157">
        <v>89</v>
      </c>
      <c r="B90" s="157" t="s">
        <v>632</v>
      </c>
      <c r="C90" s="403"/>
      <c r="D90" s="139" t="s">
        <v>411</v>
      </c>
    </row>
    <row r="91" spans="1:4" x14ac:dyDescent="0.25">
      <c r="A91" s="157">
        <v>90</v>
      </c>
      <c r="B91" s="157" t="s">
        <v>633</v>
      </c>
      <c r="C91" s="403"/>
      <c r="D91" s="139" t="s">
        <v>412</v>
      </c>
    </row>
    <row r="92" spans="1:4" x14ac:dyDescent="0.25">
      <c r="A92" s="157">
        <v>91</v>
      </c>
      <c r="B92" s="157" t="s">
        <v>634</v>
      </c>
      <c r="C92" s="403"/>
      <c r="D92" s="139" t="s">
        <v>413</v>
      </c>
    </row>
    <row r="93" spans="1:4" x14ac:dyDescent="0.25">
      <c r="A93" s="157">
        <v>92</v>
      </c>
      <c r="B93" s="157" t="s">
        <v>635</v>
      </c>
      <c r="C93" s="403"/>
      <c r="D93" s="139" t="s">
        <v>414</v>
      </c>
    </row>
    <row r="94" spans="1:4" ht="15.75" thickBot="1" x14ac:dyDescent="0.3">
      <c r="A94" s="159">
        <v>93</v>
      </c>
      <c r="B94" s="159" t="s">
        <v>636</v>
      </c>
      <c r="C94" s="404"/>
      <c r="D94" s="143" t="s">
        <v>415</v>
      </c>
    </row>
    <row r="95" spans="1:4" x14ac:dyDescent="0.25">
      <c r="A95" s="160">
        <v>94</v>
      </c>
      <c r="B95" s="160" t="s">
        <v>639</v>
      </c>
      <c r="C95" s="402" t="s">
        <v>416</v>
      </c>
      <c r="D95" s="139" t="s">
        <v>417</v>
      </c>
    </row>
    <row r="96" spans="1:4" ht="15" customHeight="1" x14ac:dyDescent="0.25">
      <c r="A96" s="160">
        <v>95</v>
      </c>
      <c r="B96" s="160" t="s">
        <v>640</v>
      </c>
      <c r="C96" s="403"/>
      <c r="D96" s="237" t="s">
        <v>418</v>
      </c>
    </row>
    <row r="97" spans="1:4" ht="45" x14ac:dyDescent="0.25">
      <c r="A97" s="160">
        <v>96</v>
      </c>
      <c r="B97" s="160" t="s">
        <v>641</v>
      </c>
      <c r="C97" s="403"/>
      <c r="D97" s="161" t="s">
        <v>419</v>
      </c>
    </row>
    <row r="98" spans="1:4" ht="30.75" thickBot="1" x14ac:dyDescent="0.3">
      <c r="A98" s="162">
        <v>97</v>
      </c>
      <c r="B98" s="162" t="s">
        <v>642</v>
      </c>
      <c r="C98" s="404"/>
      <c r="D98" s="143" t="s">
        <v>420</v>
      </c>
    </row>
    <row r="99" spans="1:4" ht="30" x14ac:dyDescent="0.25">
      <c r="A99" s="145">
        <v>98</v>
      </c>
      <c r="B99" s="145" t="s">
        <v>643</v>
      </c>
      <c r="C99" s="402" t="s">
        <v>421</v>
      </c>
      <c r="D99" s="146" t="s">
        <v>422</v>
      </c>
    </row>
    <row r="100" spans="1:4" ht="30" x14ac:dyDescent="0.25">
      <c r="A100" s="147">
        <v>99</v>
      </c>
      <c r="B100" s="147" t="s">
        <v>644</v>
      </c>
      <c r="C100" s="403"/>
      <c r="D100" s="139" t="s">
        <v>423</v>
      </c>
    </row>
    <row r="101" spans="1:4" x14ac:dyDescent="0.25">
      <c r="A101" s="147">
        <v>100</v>
      </c>
      <c r="B101" s="147" t="s">
        <v>645</v>
      </c>
      <c r="C101" s="403"/>
      <c r="D101" s="139" t="s">
        <v>424</v>
      </c>
    </row>
    <row r="102" spans="1:4" x14ac:dyDescent="0.25">
      <c r="A102" s="147">
        <v>101</v>
      </c>
      <c r="B102" s="147" t="s">
        <v>646</v>
      </c>
      <c r="C102" s="403"/>
      <c r="D102" s="139" t="s">
        <v>425</v>
      </c>
    </row>
    <row r="103" spans="1:4" x14ac:dyDescent="0.25">
      <c r="A103" s="147">
        <v>102</v>
      </c>
      <c r="B103" s="147" t="s">
        <v>647</v>
      </c>
      <c r="C103" s="403"/>
      <c r="D103" s="139" t="s">
        <v>426</v>
      </c>
    </row>
    <row r="104" spans="1:4" ht="30" x14ac:dyDescent="0.25">
      <c r="A104" s="147">
        <v>103</v>
      </c>
      <c r="B104" s="147" t="s">
        <v>648</v>
      </c>
      <c r="C104" s="403"/>
      <c r="D104" s="139" t="s">
        <v>482</v>
      </c>
    </row>
    <row r="105" spans="1:4" x14ac:dyDescent="0.25">
      <c r="A105" s="147">
        <v>104</v>
      </c>
      <c r="B105" s="147" t="s">
        <v>649</v>
      </c>
      <c r="C105" s="403"/>
      <c r="D105" s="139" t="s">
        <v>500</v>
      </c>
    </row>
    <row r="106" spans="1:4" x14ac:dyDescent="0.25">
      <c r="A106" s="147">
        <v>105</v>
      </c>
      <c r="B106" s="147" t="s">
        <v>650</v>
      </c>
      <c r="C106" s="403"/>
      <c r="D106" s="139" t="s">
        <v>501</v>
      </c>
    </row>
    <row r="107" spans="1:4" x14ac:dyDescent="0.25">
      <c r="A107" s="147">
        <v>106</v>
      </c>
      <c r="B107" s="147" t="s">
        <v>651</v>
      </c>
      <c r="C107" s="403"/>
      <c r="D107" s="139" t="s">
        <v>502</v>
      </c>
    </row>
    <row r="108" spans="1:4" ht="30.75" thickBot="1" x14ac:dyDescent="0.3">
      <c r="A108" s="147">
        <v>107</v>
      </c>
      <c r="B108" s="147" t="s">
        <v>652</v>
      </c>
      <c r="C108" s="404"/>
      <c r="D108" s="139" t="s">
        <v>503</v>
      </c>
    </row>
    <row r="109" spans="1:4" ht="30" x14ac:dyDescent="0.25">
      <c r="A109" s="164">
        <v>108</v>
      </c>
      <c r="B109" s="164" t="s">
        <v>653</v>
      </c>
      <c r="C109" s="402" t="s">
        <v>427</v>
      </c>
      <c r="D109" s="146" t="s">
        <v>540</v>
      </c>
    </row>
    <row r="110" spans="1:4" ht="30" x14ac:dyDescent="0.25">
      <c r="A110" s="165">
        <v>109</v>
      </c>
      <c r="B110" s="165" t="s">
        <v>724</v>
      </c>
      <c r="C110" s="403"/>
      <c r="D110" s="139" t="s">
        <v>541</v>
      </c>
    </row>
    <row r="111" spans="1:4" x14ac:dyDescent="0.25">
      <c r="A111" s="165">
        <v>110</v>
      </c>
      <c r="B111" s="165" t="s">
        <v>654</v>
      </c>
      <c r="C111" s="403"/>
      <c r="D111" s="139" t="s">
        <v>428</v>
      </c>
    </row>
    <row r="112" spans="1:4" x14ac:dyDescent="0.25">
      <c r="A112" s="165">
        <v>111</v>
      </c>
      <c r="B112" s="165" t="s">
        <v>655</v>
      </c>
      <c r="C112" s="403"/>
      <c r="D112" s="139" t="s">
        <v>429</v>
      </c>
    </row>
    <row r="113" spans="1:4" x14ac:dyDescent="0.25">
      <c r="A113" s="165">
        <v>112</v>
      </c>
      <c r="B113" s="165" t="s">
        <v>656</v>
      </c>
      <c r="C113" s="403"/>
      <c r="D113" s="139" t="s">
        <v>429</v>
      </c>
    </row>
    <row r="114" spans="1:4" x14ac:dyDescent="0.25">
      <c r="A114" s="165">
        <v>113</v>
      </c>
      <c r="B114" s="165" t="s">
        <v>657</v>
      </c>
      <c r="C114" s="403"/>
      <c r="D114" s="139" t="s">
        <v>430</v>
      </c>
    </row>
    <row r="115" spans="1:4" ht="15.75" thickBot="1" x14ac:dyDescent="0.3">
      <c r="A115" s="167">
        <v>114</v>
      </c>
      <c r="B115" s="167" t="s">
        <v>658</v>
      </c>
      <c r="C115" s="404"/>
      <c r="D115" s="143" t="s">
        <v>430</v>
      </c>
    </row>
    <row r="116" spans="1:4" ht="30" x14ac:dyDescent="0.25">
      <c r="A116" s="168">
        <v>115</v>
      </c>
      <c r="B116" s="168" t="s">
        <v>659</v>
      </c>
      <c r="C116" s="402" t="s">
        <v>431</v>
      </c>
      <c r="D116" s="146" t="s">
        <v>432</v>
      </c>
    </row>
    <row r="117" spans="1:4" x14ac:dyDescent="0.25">
      <c r="A117" s="169">
        <v>116</v>
      </c>
      <c r="B117" s="169" t="s">
        <v>660</v>
      </c>
      <c r="C117" s="403"/>
      <c r="D117" s="139" t="s">
        <v>10</v>
      </c>
    </row>
    <row r="118" spans="1:4" x14ac:dyDescent="0.25">
      <c r="A118" s="169">
        <v>117</v>
      </c>
      <c r="B118" s="169" t="s">
        <v>661</v>
      </c>
      <c r="C118" s="403"/>
      <c r="D118" s="139" t="s">
        <v>10</v>
      </c>
    </row>
    <row r="119" spans="1:4" x14ac:dyDescent="0.25">
      <c r="A119" s="169">
        <v>118</v>
      </c>
      <c r="B119" s="169" t="s">
        <v>662</v>
      </c>
      <c r="C119" s="403"/>
      <c r="D119" s="139" t="s">
        <v>10</v>
      </c>
    </row>
    <row r="120" spans="1:4" x14ac:dyDescent="0.25">
      <c r="A120" s="169">
        <v>119</v>
      </c>
      <c r="B120" s="169" t="s">
        <v>663</v>
      </c>
      <c r="C120" s="403"/>
      <c r="D120" s="139" t="s">
        <v>10</v>
      </c>
    </row>
    <row r="121" spans="1:4" x14ac:dyDescent="0.25">
      <c r="A121" s="169">
        <v>120</v>
      </c>
      <c r="B121" s="169" t="s">
        <v>664</v>
      </c>
      <c r="C121" s="403"/>
      <c r="D121" s="139" t="s">
        <v>409</v>
      </c>
    </row>
    <row r="122" spans="1:4" x14ac:dyDescent="0.25">
      <c r="A122" s="169">
        <v>121</v>
      </c>
      <c r="B122" s="169" t="s">
        <v>665</v>
      </c>
      <c r="C122" s="403"/>
      <c r="D122" s="139" t="s">
        <v>10</v>
      </c>
    </row>
    <row r="123" spans="1:4" x14ac:dyDescent="0.25">
      <c r="A123" s="169">
        <v>122</v>
      </c>
      <c r="B123" s="169" t="s">
        <v>666</v>
      </c>
      <c r="C123" s="403"/>
      <c r="D123" s="139" t="s">
        <v>10</v>
      </c>
    </row>
    <row r="124" spans="1:4" x14ac:dyDescent="0.25">
      <c r="A124" s="169">
        <v>123</v>
      </c>
      <c r="B124" s="169" t="s">
        <v>667</v>
      </c>
      <c r="C124" s="403"/>
      <c r="D124" s="139" t="s">
        <v>10</v>
      </c>
    </row>
    <row r="125" spans="1:4" x14ac:dyDescent="0.25">
      <c r="A125" s="169">
        <v>124</v>
      </c>
      <c r="B125" s="169" t="s">
        <v>668</v>
      </c>
      <c r="C125" s="403"/>
      <c r="D125" s="139" t="s">
        <v>10</v>
      </c>
    </row>
    <row r="126" spans="1:4" x14ac:dyDescent="0.25">
      <c r="A126" s="169">
        <v>125</v>
      </c>
      <c r="B126" s="169" t="s">
        <v>669</v>
      </c>
      <c r="C126" s="403"/>
      <c r="D126" s="139" t="s">
        <v>10</v>
      </c>
    </row>
    <row r="127" spans="1:4" x14ac:dyDescent="0.25">
      <c r="A127" s="169">
        <v>126</v>
      </c>
      <c r="B127" s="169" t="s">
        <v>670</v>
      </c>
      <c r="C127" s="403"/>
      <c r="D127" s="139" t="s">
        <v>10</v>
      </c>
    </row>
    <row r="128" spans="1:4" x14ac:dyDescent="0.25">
      <c r="A128" s="169">
        <v>127</v>
      </c>
      <c r="B128" s="169" t="s">
        <v>671</v>
      </c>
      <c r="C128" s="403"/>
      <c r="D128" s="139" t="s">
        <v>10</v>
      </c>
    </row>
    <row r="129" spans="1:4" x14ac:dyDescent="0.25">
      <c r="A129" s="169">
        <v>128</v>
      </c>
      <c r="B129" s="169" t="s">
        <v>672</v>
      </c>
      <c r="C129" s="403"/>
      <c r="D129" s="139" t="s">
        <v>10</v>
      </c>
    </row>
    <row r="130" spans="1:4" x14ac:dyDescent="0.25">
      <c r="A130" s="169">
        <v>129</v>
      </c>
      <c r="B130" s="169" t="s">
        <v>673</v>
      </c>
      <c r="C130" s="403"/>
      <c r="D130" s="139" t="s">
        <v>433</v>
      </c>
    </row>
    <row r="131" spans="1:4" x14ac:dyDescent="0.25">
      <c r="A131" s="169">
        <v>130</v>
      </c>
      <c r="B131" s="169" t="s">
        <v>674</v>
      </c>
      <c r="C131" s="403"/>
      <c r="D131" s="139" t="s">
        <v>434</v>
      </c>
    </row>
    <row r="132" spans="1:4" x14ac:dyDescent="0.25">
      <c r="A132" s="169">
        <v>131</v>
      </c>
      <c r="B132" s="169" t="s">
        <v>675</v>
      </c>
      <c r="C132" s="403"/>
      <c r="D132" s="139" t="s">
        <v>435</v>
      </c>
    </row>
    <row r="133" spans="1:4" x14ac:dyDescent="0.25">
      <c r="A133" s="169">
        <v>132</v>
      </c>
      <c r="B133" s="169" t="s">
        <v>676</v>
      </c>
      <c r="C133" s="403"/>
      <c r="D133" s="139" t="s">
        <v>436</v>
      </c>
    </row>
    <row r="134" spans="1:4" x14ac:dyDescent="0.25">
      <c r="A134" s="169">
        <v>133</v>
      </c>
      <c r="B134" s="169" t="s">
        <v>677</v>
      </c>
      <c r="C134" s="403"/>
      <c r="D134" s="139" t="s">
        <v>437</v>
      </c>
    </row>
    <row r="135" spans="1:4" x14ac:dyDescent="0.25">
      <c r="A135" s="169">
        <v>134</v>
      </c>
      <c r="B135" s="169" t="s">
        <v>678</v>
      </c>
      <c r="C135" s="403"/>
      <c r="D135" s="139" t="s">
        <v>438</v>
      </c>
    </row>
    <row r="136" spans="1:4" ht="30" x14ac:dyDescent="0.25">
      <c r="A136" s="169">
        <v>135</v>
      </c>
      <c r="B136" s="169" t="s">
        <v>679</v>
      </c>
      <c r="C136" s="403"/>
      <c r="D136" s="139" t="s">
        <v>439</v>
      </c>
    </row>
    <row r="137" spans="1:4" x14ac:dyDescent="0.25">
      <c r="A137" s="169">
        <v>136</v>
      </c>
      <c r="B137" s="169" t="s">
        <v>680</v>
      </c>
      <c r="C137" s="403"/>
      <c r="D137" s="139" t="s">
        <v>440</v>
      </c>
    </row>
    <row r="138" spans="1:4" x14ac:dyDescent="0.25">
      <c r="A138" s="169">
        <v>137</v>
      </c>
      <c r="B138" s="169" t="s">
        <v>681</v>
      </c>
      <c r="C138" s="403"/>
      <c r="D138" s="139" t="s">
        <v>440</v>
      </c>
    </row>
    <row r="139" spans="1:4" ht="90" x14ac:dyDescent="0.25">
      <c r="A139" s="169">
        <v>138</v>
      </c>
      <c r="B139" s="169" t="s">
        <v>736</v>
      </c>
      <c r="C139" s="403"/>
      <c r="D139" s="139" t="s">
        <v>486</v>
      </c>
    </row>
    <row r="140" spans="1:4" x14ac:dyDescent="0.25">
      <c r="A140" s="169">
        <v>139</v>
      </c>
      <c r="B140" s="169" t="s">
        <v>737</v>
      </c>
      <c r="C140" s="403"/>
      <c r="D140" s="139" t="s">
        <v>441</v>
      </c>
    </row>
    <row r="141" spans="1:4" ht="105" x14ac:dyDescent="0.25">
      <c r="A141" s="169">
        <v>140</v>
      </c>
      <c r="B141" s="169" t="s">
        <v>682</v>
      </c>
      <c r="C141" s="403"/>
      <c r="D141" s="139" t="s">
        <v>487</v>
      </c>
    </row>
    <row r="142" spans="1:4" ht="30" x14ac:dyDescent="0.25">
      <c r="A142" s="169">
        <v>141</v>
      </c>
      <c r="B142" s="169" t="s">
        <v>683</v>
      </c>
      <c r="C142" s="403"/>
      <c r="D142" s="139" t="s">
        <v>484</v>
      </c>
    </row>
    <row r="143" spans="1:4" ht="30" x14ac:dyDescent="0.25">
      <c r="A143" s="169">
        <v>142</v>
      </c>
      <c r="B143" s="169" t="s">
        <v>722</v>
      </c>
      <c r="C143" s="403"/>
      <c r="D143" s="139" t="s">
        <v>442</v>
      </c>
    </row>
    <row r="144" spans="1:4" ht="30" x14ac:dyDescent="0.25">
      <c r="A144" s="169">
        <v>143</v>
      </c>
      <c r="B144" s="169" t="s">
        <v>723</v>
      </c>
      <c r="C144" s="403"/>
      <c r="D144" s="139" t="s">
        <v>443</v>
      </c>
    </row>
    <row r="145" spans="1:4" x14ac:dyDescent="0.25">
      <c r="A145" s="169">
        <v>144</v>
      </c>
      <c r="B145" s="169" t="s">
        <v>684</v>
      </c>
      <c r="C145" s="403"/>
      <c r="D145" s="139" t="s">
        <v>444</v>
      </c>
    </row>
    <row r="146" spans="1:4" x14ac:dyDescent="0.25">
      <c r="A146" s="169">
        <v>145</v>
      </c>
      <c r="B146" s="169" t="s">
        <v>685</v>
      </c>
      <c r="C146" s="403"/>
      <c r="D146" s="139" t="s">
        <v>445</v>
      </c>
    </row>
    <row r="147" spans="1:4" x14ac:dyDescent="0.25">
      <c r="A147" s="169">
        <v>146</v>
      </c>
      <c r="B147" s="169" t="s">
        <v>686</v>
      </c>
      <c r="C147" s="403"/>
      <c r="D147" s="139" t="s">
        <v>446</v>
      </c>
    </row>
    <row r="148" spans="1:4" x14ac:dyDescent="0.25">
      <c r="A148" s="169">
        <v>147</v>
      </c>
      <c r="B148" s="169" t="s">
        <v>687</v>
      </c>
      <c r="C148" s="403"/>
      <c r="D148" s="139" t="s">
        <v>447</v>
      </c>
    </row>
    <row r="149" spans="1:4" x14ac:dyDescent="0.25">
      <c r="A149" s="169">
        <v>148</v>
      </c>
      <c r="B149" s="169" t="s">
        <v>688</v>
      </c>
      <c r="C149" s="403"/>
      <c r="D149" s="139" t="s">
        <v>448</v>
      </c>
    </row>
    <row r="150" spans="1:4" x14ac:dyDescent="0.25">
      <c r="A150" s="169">
        <v>149</v>
      </c>
      <c r="B150" s="169" t="s">
        <v>689</v>
      </c>
      <c r="C150" s="403"/>
      <c r="D150" s="139" t="s">
        <v>449</v>
      </c>
    </row>
    <row r="151" spans="1:4" x14ac:dyDescent="0.25">
      <c r="A151" s="169">
        <v>150</v>
      </c>
      <c r="B151" s="169" t="s">
        <v>690</v>
      </c>
      <c r="C151" s="403"/>
      <c r="D151" s="139" t="s">
        <v>504</v>
      </c>
    </row>
    <row r="152" spans="1:4" x14ac:dyDescent="0.25">
      <c r="A152" s="169">
        <v>151</v>
      </c>
      <c r="B152" s="169" t="s">
        <v>691</v>
      </c>
      <c r="C152" s="403"/>
      <c r="D152" s="139" t="s">
        <v>10</v>
      </c>
    </row>
    <row r="153" spans="1:4" x14ac:dyDescent="0.25">
      <c r="A153" s="169">
        <v>152</v>
      </c>
      <c r="B153" s="169" t="s">
        <v>692</v>
      </c>
      <c r="C153" s="403"/>
      <c r="D153" s="139" t="s">
        <v>10</v>
      </c>
    </row>
    <row r="154" spans="1:4" x14ac:dyDescent="0.25">
      <c r="A154" s="169">
        <v>153</v>
      </c>
      <c r="B154" s="169" t="s">
        <v>693</v>
      </c>
      <c r="C154" s="403"/>
      <c r="D154" s="139" t="s">
        <v>10</v>
      </c>
    </row>
    <row r="155" spans="1:4" x14ac:dyDescent="0.25">
      <c r="A155" s="169">
        <v>154</v>
      </c>
      <c r="B155" s="169" t="s">
        <v>694</v>
      </c>
      <c r="C155" s="403"/>
      <c r="D155" s="139" t="s">
        <v>10</v>
      </c>
    </row>
    <row r="156" spans="1:4" x14ac:dyDescent="0.25">
      <c r="A156" s="169">
        <v>155</v>
      </c>
      <c r="B156" s="169" t="s">
        <v>695</v>
      </c>
      <c r="C156" s="403"/>
      <c r="D156" s="139" t="s">
        <v>10</v>
      </c>
    </row>
    <row r="157" spans="1:4" x14ac:dyDescent="0.25">
      <c r="A157" s="169">
        <v>156</v>
      </c>
      <c r="B157" s="169" t="s">
        <v>696</v>
      </c>
      <c r="C157" s="403"/>
      <c r="D157" s="139" t="s">
        <v>10</v>
      </c>
    </row>
    <row r="158" spans="1:4" x14ac:dyDescent="0.25">
      <c r="A158" s="169">
        <v>157</v>
      </c>
      <c r="B158" s="169" t="s">
        <v>697</v>
      </c>
      <c r="C158" s="403"/>
      <c r="D158" s="139" t="s">
        <v>10</v>
      </c>
    </row>
    <row r="159" spans="1:4" ht="30" x14ac:dyDescent="0.25">
      <c r="A159" s="169">
        <v>158</v>
      </c>
      <c r="B159" s="169" t="s">
        <v>698</v>
      </c>
      <c r="C159" s="403"/>
      <c r="D159" s="139" t="s">
        <v>505</v>
      </c>
    </row>
    <row r="160" spans="1:4" ht="30" x14ac:dyDescent="0.25">
      <c r="A160" s="169">
        <v>159</v>
      </c>
      <c r="B160" s="169" t="s">
        <v>699</v>
      </c>
      <c r="C160" s="403"/>
      <c r="D160" s="139" t="s">
        <v>506</v>
      </c>
    </row>
    <row r="161" spans="1:4" ht="30" x14ac:dyDescent="0.25">
      <c r="A161" s="169">
        <v>160</v>
      </c>
      <c r="B161" s="169" t="s">
        <v>700</v>
      </c>
      <c r="C161" s="403"/>
      <c r="D161" s="139" t="s">
        <v>507</v>
      </c>
    </row>
    <row r="162" spans="1:4" ht="15.75" thickBot="1" x14ac:dyDescent="0.3">
      <c r="A162" s="170">
        <v>161</v>
      </c>
      <c r="B162" s="170" t="s">
        <v>701</v>
      </c>
      <c r="C162" s="404"/>
      <c r="D162" s="204" t="s">
        <v>10</v>
      </c>
    </row>
    <row r="163" spans="1:4" ht="30" customHeight="1" x14ac:dyDescent="0.25">
      <c r="A163" s="171">
        <v>162</v>
      </c>
      <c r="B163" s="171" t="s">
        <v>702</v>
      </c>
      <c r="C163" s="402" t="s">
        <v>450</v>
      </c>
      <c r="D163" s="139" t="s">
        <v>451</v>
      </c>
    </row>
    <row r="164" spans="1:4" ht="30" x14ac:dyDescent="0.25">
      <c r="A164" s="171">
        <v>163</v>
      </c>
      <c r="B164" s="171" t="s">
        <v>703</v>
      </c>
      <c r="C164" s="403"/>
      <c r="D164" s="139" t="s">
        <v>452</v>
      </c>
    </row>
    <row r="165" spans="1:4" x14ac:dyDescent="0.25">
      <c r="A165" s="171">
        <v>164</v>
      </c>
      <c r="B165" s="171" t="s">
        <v>704</v>
      </c>
      <c r="C165" s="403"/>
      <c r="D165" s="139" t="s">
        <v>10</v>
      </c>
    </row>
    <row r="166" spans="1:4" x14ac:dyDescent="0.25">
      <c r="A166" s="171">
        <v>165</v>
      </c>
      <c r="B166" s="171" t="s">
        <v>705</v>
      </c>
      <c r="C166" s="403"/>
      <c r="D166" s="139" t="s">
        <v>10</v>
      </c>
    </row>
    <row r="167" spans="1:4" ht="30" x14ac:dyDescent="0.25">
      <c r="A167" s="171">
        <v>166</v>
      </c>
      <c r="B167" s="171" t="s">
        <v>706</v>
      </c>
      <c r="C167" s="403"/>
      <c r="D167" s="139" t="s">
        <v>453</v>
      </c>
    </row>
    <row r="168" spans="1:4" ht="30" x14ac:dyDescent="0.25">
      <c r="A168" s="171">
        <v>167</v>
      </c>
      <c r="B168" s="171" t="s">
        <v>707</v>
      </c>
      <c r="C168" s="403"/>
      <c r="D168" s="139" t="s">
        <v>454</v>
      </c>
    </row>
    <row r="169" spans="1:4" x14ac:dyDescent="0.25">
      <c r="A169" s="171">
        <v>168</v>
      </c>
      <c r="B169" s="171" t="s">
        <v>708</v>
      </c>
      <c r="C169" s="403"/>
      <c r="D169" s="139" t="s">
        <v>455</v>
      </c>
    </row>
    <row r="170" spans="1:4" x14ac:dyDescent="0.25">
      <c r="A170" s="171">
        <v>169</v>
      </c>
      <c r="B170" s="171" t="s">
        <v>709</v>
      </c>
      <c r="C170" s="403"/>
      <c r="D170" s="139" t="s">
        <v>10</v>
      </c>
    </row>
    <row r="171" spans="1:4" x14ac:dyDescent="0.25">
      <c r="A171" s="171">
        <v>170</v>
      </c>
      <c r="B171" s="171" t="s">
        <v>710</v>
      </c>
      <c r="C171" s="403"/>
      <c r="D171" s="139" t="s">
        <v>10</v>
      </c>
    </row>
    <row r="172" spans="1:4" x14ac:dyDescent="0.25">
      <c r="A172" s="171">
        <v>171</v>
      </c>
      <c r="B172" s="171" t="s">
        <v>711</v>
      </c>
      <c r="C172" s="403"/>
      <c r="D172" s="139" t="s">
        <v>10</v>
      </c>
    </row>
    <row r="173" spans="1:4" x14ac:dyDescent="0.25">
      <c r="A173" s="171">
        <v>172</v>
      </c>
      <c r="B173" s="171" t="s">
        <v>712</v>
      </c>
      <c r="C173" s="403"/>
      <c r="D173" s="139" t="s">
        <v>456</v>
      </c>
    </row>
    <row r="174" spans="1:4" x14ac:dyDescent="0.25">
      <c r="A174" s="171">
        <v>173</v>
      </c>
      <c r="B174" s="171" t="s">
        <v>713</v>
      </c>
      <c r="C174" s="403"/>
      <c r="D174" s="139" t="s">
        <v>457</v>
      </c>
    </row>
    <row r="175" spans="1:4" x14ac:dyDescent="0.25">
      <c r="A175" s="171">
        <v>174</v>
      </c>
      <c r="B175" s="171" t="s">
        <v>714</v>
      </c>
      <c r="C175" s="403"/>
      <c r="D175" s="139" t="s">
        <v>458</v>
      </c>
    </row>
    <row r="176" spans="1:4" ht="15.75" thickBot="1" x14ac:dyDescent="0.3">
      <c r="A176" s="172">
        <v>175</v>
      </c>
      <c r="B176" s="172" t="s">
        <v>728</v>
      </c>
      <c r="C176" s="404"/>
      <c r="D176" s="143" t="s">
        <v>459</v>
      </c>
    </row>
    <row r="177" spans="1:4" ht="15.75" thickBot="1" x14ac:dyDescent="0.3">
      <c r="A177" s="173">
        <v>176</v>
      </c>
      <c r="B177" s="173" t="s">
        <v>715</v>
      </c>
      <c r="C177" s="174" t="s">
        <v>460</v>
      </c>
      <c r="D177" s="190" t="s">
        <v>461</v>
      </c>
    </row>
  </sheetData>
  <sheetProtection sheet="1" objects="1" scenarios="1"/>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30" t="s">
        <v>89</v>
      </c>
      <c r="B1" s="315" t="s">
        <v>92</v>
      </c>
      <c r="C1" s="331" t="s">
        <v>480</v>
      </c>
      <c r="D1" s="332" t="s">
        <v>0</v>
      </c>
    </row>
    <row r="2" spans="1:4" x14ac:dyDescent="0.25">
      <c r="A2" s="279">
        <v>1001</v>
      </c>
      <c r="B2" s="279" t="s">
        <v>356</v>
      </c>
      <c r="C2" s="403" t="s">
        <v>794</v>
      </c>
      <c r="D2" s="272" t="s">
        <v>362</v>
      </c>
    </row>
    <row r="3" spans="1:4" x14ac:dyDescent="0.25">
      <c r="A3" s="279">
        <v>1002</v>
      </c>
      <c r="B3" s="279" t="s">
        <v>357</v>
      </c>
      <c r="C3" s="403"/>
      <c r="D3" s="273" t="s">
        <v>795</v>
      </c>
    </row>
    <row r="4" spans="1:4" x14ac:dyDescent="0.25">
      <c r="A4" s="279">
        <v>1003</v>
      </c>
      <c r="B4" s="279" t="s">
        <v>358</v>
      </c>
      <c r="C4" s="403"/>
      <c r="D4" s="274" t="s">
        <v>10</v>
      </c>
    </row>
    <row r="5" spans="1:4" x14ac:dyDescent="0.25">
      <c r="A5" s="279">
        <v>1004</v>
      </c>
      <c r="B5" s="279" t="s">
        <v>359</v>
      </c>
      <c r="C5" s="403"/>
      <c r="D5" s="274" t="s">
        <v>10</v>
      </c>
    </row>
    <row r="6" spans="1:4" ht="15.75" thickBot="1" x14ac:dyDescent="0.3">
      <c r="A6" s="280">
        <v>1005</v>
      </c>
      <c r="B6" s="280" t="s">
        <v>360</v>
      </c>
      <c r="C6" s="404"/>
      <c r="D6" s="275" t="s">
        <v>10</v>
      </c>
    </row>
    <row r="7" spans="1:4" x14ac:dyDescent="0.25">
      <c r="A7" s="222">
        <v>1006</v>
      </c>
      <c r="B7" s="221" t="s">
        <v>238</v>
      </c>
      <c r="C7" s="402" t="s">
        <v>796</v>
      </c>
      <c r="D7" s="276" t="s">
        <v>797</v>
      </c>
    </row>
    <row r="8" spans="1:4" x14ac:dyDescent="0.25">
      <c r="A8" s="218">
        <v>1007</v>
      </c>
      <c r="B8" s="217" t="s">
        <v>239</v>
      </c>
      <c r="C8" s="403"/>
      <c r="D8" s="274" t="s">
        <v>10</v>
      </c>
    </row>
    <row r="9" spans="1:4" x14ac:dyDescent="0.25">
      <c r="A9" s="218">
        <v>1008</v>
      </c>
      <c r="B9" s="217" t="s">
        <v>240</v>
      </c>
      <c r="C9" s="403"/>
      <c r="D9" s="274" t="s">
        <v>10</v>
      </c>
    </row>
    <row r="10" spans="1:4" x14ac:dyDescent="0.25">
      <c r="A10" s="218">
        <v>1009</v>
      </c>
      <c r="B10" s="217" t="s">
        <v>241</v>
      </c>
      <c r="C10" s="403"/>
      <c r="D10" s="274" t="s">
        <v>10</v>
      </c>
    </row>
    <row r="11" spans="1:4" x14ac:dyDescent="0.25">
      <c r="A11" s="218">
        <v>1010</v>
      </c>
      <c r="B11" s="217" t="s">
        <v>242</v>
      </c>
      <c r="C11" s="403"/>
      <c r="D11" s="274" t="s">
        <v>10</v>
      </c>
    </row>
    <row r="12" spans="1:4" x14ac:dyDescent="0.25">
      <c r="A12" s="218">
        <v>1011</v>
      </c>
      <c r="B12" s="217" t="s">
        <v>243</v>
      </c>
      <c r="C12" s="403"/>
      <c r="D12" s="274" t="s">
        <v>10</v>
      </c>
    </row>
    <row r="13" spans="1:4" x14ac:dyDescent="0.25">
      <c r="A13" s="218">
        <v>1012</v>
      </c>
      <c r="B13" s="217" t="s">
        <v>244</v>
      </c>
      <c r="C13" s="403"/>
      <c r="D13" s="274" t="s">
        <v>10</v>
      </c>
    </row>
    <row r="14" spans="1:4" x14ac:dyDescent="0.25">
      <c r="A14" s="218">
        <v>1013</v>
      </c>
      <c r="B14" s="217" t="s">
        <v>245</v>
      </c>
      <c r="C14" s="403"/>
      <c r="D14" s="274" t="s">
        <v>10</v>
      </c>
    </row>
    <row r="15" spans="1:4" x14ac:dyDescent="0.25">
      <c r="A15" s="218">
        <v>1014</v>
      </c>
      <c r="B15" s="217" t="s">
        <v>246</v>
      </c>
      <c r="C15" s="403"/>
      <c r="D15" s="274" t="s">
        <v>10</v>
      </c>
    </row>
    <row r="16" spans="1:4" x14ac:dyDescent="0.25">
      <c r="A16" s="218">
        <v>1015</v>
      </c>
      <c r="B16" s="217" t="s">
        <v>247</v>
      </c>
      <c r="C16" s="403"/>
      <c r="D16" s="274" t="s">
        <v>10</v>
      </c>
    </row>
    <row r="17" spans="1:4" x14ac:dyDescent="0.25">
      <c r="A17" s="218">
        <v>1016</v>
      </c>
      <c r="B17" s="217" t="s">
        <v>248</v>
      </c>
      <c r="C17" s="403"/>
      <c r="D17" s="274" t="s">
        <v>10</v>
      </c>
    </row>
    <row r="18" spans="1:4" x14ac:dyDescent="0.25">
      <c r="A18" s="218">
        <v>1017</v>
      </c>
      <c r="B18" s="217" t="s">
        <v>249</v>
      </c>
      <c r="C18" s="403"/>
      <c r="D18" s="274" t="s">
        <v>10</v>
      </c>
    </row>
    <row r="19" spans="1:4" x14ac:dyDescent="0.25">
      <c r="A19" s="218">
        <v>1018</v>
      </c>
      <c r="B19" s="217" t="s">
        <v>739</v>
      </c>
      <c r="C19" s="403"/>
      <c r="D19" s="273" t="s">
        <v>411</v>
      </c>
    </row>
    <row r="20" spans="1:4" x14ac:dyDescent="0.25">
      <c r="A20" s="218">
        <v>1019</v>
      </c>
      <c r="B20" s="217" t="s">
        <v>740</v>
      </c>
      <c r="C20" s="403"/>
      <c r="D20" s="273" t="s">
        <v>412</v>
      </c>
    </row>
    <row r="21" spans="1:4" x14ac:dyDescent="0.25">
      <c r="A21" s="218">
        <v>1020</v>
      </c>
      <c r="B21" s="217" t="s">
        <v>741</v>
      </c>
      <c r="C21" s="403"/>
      <c r="D21" s="273" t="s">
        <v>413</v>
      </c>
    </row>
    <row r="22" spans="1:4" x14ac:dyDescent="0.25">
      <c r="A22" s="218">
        <v>1021</v>
      </c>
      <c r="B22" s="217" t="s">
        <v>742</v>
      </c>
      <c r="C22" s="403"/>
      <c r="D22" s="274" t="s">
        <v>10</v>
      </c>
    </row>
    <row r="23" spans="1:4" x14ac:dyDescent="0.25">
      <c r="A23" s="218">
        <v>1022</v>
      </c>
      <c r="B23" s="217" t="s">
        <v>743</v>
      </c>
      <c r="C23" s="403"/>
      <c r="D23" s="274" t="s">
        <v>10</v>
      </c>
    </row>
    <row r="24" spans="1:4" x14ac:dyDescent="0.25">
      <c r="A24" s="218">
        <v>1023</v>
      </c>
      <c r="B24" s="217" t="s">
        <v>744</v>
      </c>
      <c r="C24" s="403"/>
      <c r="D24" s="273" t="s">
        <v>798</v>
      </c>
    </row>
    <row r="25" spans="1:4" x14ac:dyDescent="0.25">
      <c r="A25" s="218">
        <v>1024</v>
      </c>
      <c r="B25" s="217" t="s">
        <v>745</v>
      </c>
      <c r="C25" s="403"/>
      <c r="D25" s="273" t="s">
        <v>798</v>
      </c>
    </row>
    <row r="26" spans="1:4" x14ac:dyDescent="0.25">
      <c r="A26" s="218">
        <v>1025</v>
      </c>
      <c r="B26" s="217" t="s">
        <v>250</v>
      </c>
      <c r="C26" s="403"/>
      <c r="D26" s="273" t="s">
        <v>414</v>
      </c>
    </row>
    <row r="27" spans="1:4" x14ac:dyDescent="0.25">
      <c r="A27" s="218">
        <v>1026</v>
      </c>
      <c r="B27" s="217" t="s">
        <v>251</v>
      </c>
      <c r="C27" s="403"/>
      <c r="D27" s="273" t="s">
        <v>415</v>
      </c>
    </row>
    <row r="28" spans="1:4" x14ac:dyDescent="0.25">
      <c r="A28" s="218">
        <v>1027</v>
      </c>
      <c r="B28" s="217" t="s">
        <v>746</v>
      </c>
      <c r="C28" s="403"/>
      <c r="D28" s="273" t="s">
        <v>799</v>
      </c>
    </row>
    <row r="29" spans="1:4" x14ac:dyDescent="0.25">
      <c r="A29" s="218">
        <v>1028</v>
      </c>
      <c r="B29" s="218" t="s">
        <v>747</v>
      </c>
      <c r="C29" s="403"/>
      <c r="D29" s="273" t="s">
        <v>800</v>
      </c>
    </row>
    <row r="30" spans="1:4" x14ac:dyDescent="0.25">
      <c r="A30" s="218">
        <v>1029</v>
      </c>
      <c r="B30" s="218" t="s">
        <v>748</v>
      </c>
      <c r="C30" s="403"/>
      <c r="D30" s="273" t="s">
        <v>801</v>
      </c>
    </row>
    <row r="31" spans="1:4" x14ac:dyDescent="0.25">
      <c r="A31" s="218">
        <v>1030</v>
      </c>
      <c r="B31" s="217" t="s">
        <v>350</v>
      </c>
      <c r="C31" s="403"/>
      <c r="D31" s="273" t="s">
        <v>802</v>
      </c>
    </row>
    <row r="32" spans="1:4" x14ac:dyDescent="0.25">
      <c r="A32" s="218">
        <v>1031</v>
      </c>
      <c r="B32" s="217" t="s">
        <v>749</v>
      </c>
      <c r="C32" s="403"/>
      <c r="D32" s="273" t="s">
        <v>803</v>
      </c>
    </row>
    <row r="33" spans="1:4" x14ac:dyDescent="0.25">
      <c r="A33" s="218">
        <v>1032</v>
      </c>
      <c r="B33" s="217" t="s">
        <v>750</v>
      </c>
      <c r="C33" s="403"/>
      <c r="D33" s="273" t="s">
        <v>804</v>
      </c>
    </row>
    <row r="34" spans="1:4" x14ac:dyDescent="0.25">
      <c r="A34" s="218">
        <v>1033</v>
      </c>
      <c r="B34" s="217" t="s">
        <v>805</v>
      </c>
      <c r="C34" s="403"/>
      <c r="D34" s="273" t="s">
        <v>806</v>
      </c>
    </row>
    <row r="35" spans="1:4" x14ac:dyDescent="0.25">
      <c r="A35" s="218">
        <v>1034</v>
      </c>
      <c r="B35" s="217" t="s">
        <v>807</v>
      </c>
      <c r="C35" s="403"/>
      <c r="D35" s="273" t="s">
        <v>808</v>
      </c>
    </row>
    <row r="36" spans="1:4" x14ac:dyDescent="0.25">
      <c r="A36" s="218">
        <v>1035</v>
      </c>
      <c r="B36" s="217" t="s">
        <v>833</v>
      </c>
      <c r="C36" s="403"/>
      <c r="D36" s="273" t="s">
        <v>809</v>
      </c>
    </row>
    <row r="37" spans="1:4" x14ac:dyDescent="0.25">
      <c r="A37" s="218">
        <v>1036</v>
      </c>
      <c r="B37" s="217" t="s">
        <v>834</v>
      </c>
      <c r="C37" s="403"/>
      <c r="D37" s="274" t="s">
        <v>10</v>
      </c>
    </row>
    <row r="38" spans="1:4" x14ac:dyDescent="0.25">
      <c r="A38" s="218">
        <v>1037</v>
      </c>
      <c r="B38" s="217" t="s">
        <v>835</v>
      </c>
      <c r="C38" s="403"/>
      <c r="D38" s="274" t="s">
        <v>10</v>
      </c>
    </row>
    <row r="39" spans="1:4" x14ac:dyDescent="0.25">
      <c r="A39" s="218">
        <v>1038</v>
      </c>
      <c r="B39" s="217" t="s">
        <v>836</v>
      </c>
      <c r="C39" s="403"/>
      <c r="D39" s="274" t="s">
        <v>10</v>
      </c>
    </row>
    <row r="40" spans="1:4" x14ac:dyDescent="0.25">
      <c r="A40" s="218">
        <v>1039</v>
      </c>
      <c r="B40" s="217" t="s">
        <v>837</v>
      </c>
      <c r="C40" s="403"/>
      <c r="D40" s="274" t="s">
        <v>10</v>
      </c>
    </row>
    <row r="41" spans="1:4" x14ac:dyDescent="0.25">
      <c r="A41" s="218">
        <v>1040</v>
      </c>
      <c r="B41" s="217" t="s">
        <v>838</v>
      </c>
      <c r="C41" s="403"/>
      <c r="D41" s="274" t="s">
        <v>10</v>
      </c>
    </row>
    <row r="42" spans="1:4" x14ac:dyDescent="0.25">
      <c r="A42" s="218">
        <v>1041</v>
      </c>
      <c r="B42" s="217" t="s">
        <v>839</v>
      </c>
      <c r="C42" s="403"/>
      <c r="D42" s="274" t="s">
        <v>10</v>
      </c>
    </row>
    <row r="43" spans="1:4" ht="15.75" thickBot="1" x14ac:dyDescent="0.3">
      <c r="A43" s="220">
        <v>1042</v>
      </c>
      <c r="B43" s="219" t="s">
        <v>840</v>
      </c>
      <c r="C43" s="404"/>
      <c r="D43" s="275" t="s">
        <v>10</v>
      </c>
    </row>
    <row r="44" spans="1:4" x14ac:dyDescent="0.25">
      <c r="A44" s="281">
        <v>1043</v>
      </c>
      <c r="B44" s="282" t="s">
        <v>252</v>
      </c>
      <c r="C44" s="402" t="s">
        <v>397</v>
      </c>
      <c r="D44" s="273" t="s">
        <v>812</v>
      </c>
    </row>
    <row r="45" spans="1:4" ht="30.75" thickBot="1" x14ac:dyDescent="0.3">
      <c r="A45" s="283">
        <v>1044</v>
      </c>
      <c r="B45" s="284" t="s">
        <v>753</v>
      </c>
      <c r="C45" s="404"/>
      <c r="D45" s="277" t="s">
        <v>813</v>
      </c>
    </row>
    <row r="46" spans="1:4" x14ac:dyDescent="0.25">
      <c r="A46" s="285">
        <v>1045</v>
      </c>
      <c r="B46" s="286" t="s">
        <v>253</v>
      </c>
      <c r="C46" s="402" t="s">
        <v>810</v>
      </c>
      <c r="D46" s="273" t="s">
        <v>399</v>
      </c>
    </row>
    <row r="47" spans="1:4" x14ac:dyDescent="0.25">
      <c r="A47" s="287">
        <v>1046</v>
      </c>
      <c r="B47" s="288" t="s">
        <v>254</v>
      </c>
      <c r="C47" s="403"/>
      <c r="D47" s="273" t="s">
        <v>400</v>
      </c>
    </row>
    <row r="48" spans="1:4" x14ac:dyDescent="0.25">
      <c r="A48" s="287">
        <v>1047</v>
      </c>
      <c r="B48" s="288" t="s">
        <v>255</v>
      </c>
      <c r="C48" s="403"/>
      <c r="D48" s="273" t="s">
        <v>401</v>
      </c>
    </row>
    <row r="49" spans="1:4" x14ac:dyDescent="0.25">
      <c r="A49" s="287">
        <v>1048</v>
      </c>
      <c r="B49" s="288" t="s">
        <v>256</v>
      </c>
      <c r="C49" s="403"/>
      <c r="D49" s="273" t="s">
        <v>402</v>
      </c>
    </row>
    <row r="50" spans="1:4" x14ac:dyDescent="0.25">
      <c r="A50" s="287">
        <v>1049</v>
      </c>
      <c r="B50" s="288" t="s">
        <v>257</v>
      </c>
      <c r="C50" s="403"/>
      <c r="D50" s="273" t="s">
        <v>403</v>
      </c>
    </row>
    <row r="51" spans="1:4" x14ac:dyDescent="0.25">
      <c r="A51" s="287">
        <v>1050</v>
      </c>
      <c r="B51" s="288" t="s">
        <v>258</v>
      </c>
      <c r="C51" s="403"/>
      <c r="D51" s="273" t="s">
        <v>404</v>
      </c>
    </row>
    <row r="52" spans="1:4" x14ac:dyDescent="0.25">
      <c r="A52" s="287">
        <v>1051</v>
      </c>
      <c r="B52" s="288" t="s">
        <v>754</v>
      </c>
      <c r="C52" s="403"/>
      <c r="D52" s="273" t="s">
        <v>428</v>
      </c>
    </row>
    <row r="53" spans="1:4" x14ac:dyDescent="0.25">
      <c r="A53" s="287">
        <v>1052</v>
      </c>
      <c r="B53" s="288" t="s">
        <v>755</v>
      </c>
      <c r="C53" s="403"/>
      <c r="D53" s="273" t="s">
        <v>10</v>
      </c>
    </row>
    <row r="54" spans="1:4" x14ac:dyDescent="0.25">
      <c r="A54" s="287">
        <v>1053</v>
      </c>
      <c r="B54" s="288" t="s">
        <v>756</v>
      </c>
      <c r="C54" s="403"/>
      <c r="D54" s="273" t="s">
        <v>814</v>
      </c>
    </row>
    <row r="55" spans="1:4" ht="15.75" thickBot="1" x14ac:dyDescent="0.3">
      <c r="A55" s="289">
        <v>1054</v>
      </c>
      <c r="B55" s="290" t="s">
        <v>757</v>
      </c>
      <c r="C55" s="404"/>
      <c r="D55" s="44" t="s">
        <v>10</v>
      </c>
    </row>
    <row r="56" spans="1:4" x14ac:dyDescent="0.25">
      <c r="A56" s="291">
        <v>1055</v>
      </c>
      <c r="B56" s="292" t="s">
        <v>259</v>
      </c>
      <c r="C56" s="402" t="s">
        <v>107</v>
      </c>
      <c r="D56" s="278" t="s">
        <v>815</v>
      </c>
    </row>
    <row r="57" spans="1:4" x14ac:dyDescent="0.25">
      <c r="A57" s="293">
        <v>1056</v>
      </c>
      <c r="B57" s="294" t="s">
        <v>260</v>
      </c>
      <c r="C57" s="403"/>
      <c r="D57" s="278" t="s">
        <v>816</v>
      </c>
    </row>
    <row r="58" spans="1:4" x14ac:dyDescent="0.25">
      <c r="A58" s="293">
        <v>1057</v>
      </c>
      <c r="B58" s="294" t="s">
        <v>261</v>
      </c>
      <c r="C58" s="403"/>
      <c r="D58" s="278" t="s">
        <v>817</v>
      </c>
    </row>
    <row r="59" spans="1:4" x14ac:dyDescent="0.25">
      <c r="A59" s="293">
        <v>1058</v>
      </c>
      <c r="B59" s="294" t="s">
        <v>262</v>
      </c>
      <c r="C59" s="403"/>
      <c r="D59" s="278" t="s">
        <v>818</v>
      </c>
    </row>
    <row r="60" spans="1:4" x14ac:dyDescent="0.25">
      <c r="A60" s="293">
        <v>1059</v>
      </c>
      <c r="B60" s="294" t="s">
        <v>793</v>
      </c>
      <c r="C60" s="403"/>
      <c r="D60" s="278" t="s">
        <v>819</v>
      </c>
    </row>
    <row r="61" spans="1:4" x14ac:dyDescent="0.25">
      <c r="A61" s="293">
        <v>1060</v>
      </c>
      <c r="B61" s="294" t="s">
        <v>758</v>
      </c>
      <c r="C61" s="403"/>
      <c r="D61" s="278" t="s">
        <v>820</v>
      </c>
    </row>
    <row r="62" spans="1:4" x14ac:dyDescent="0.25">
      <c r="A62" s="293">
        <v>1061</v>
      </c>
      <c r="B62" s="294" t="s">
        <v>263</v>
      </c>
      <c r="C62" s="403"/>
      <c r="D62" s="278" t="s">
        <v>821</v>
      </c>
    </row>
    <row r="63" spans="1:4" ht="15.75" thickBot="1" x14ac:dyDescent="0.3">
      <c r="A63" s="295">
        <v>1062</v>
      </c>
      <c r="B63" s="296" t="s">
        <v>264</v>
      </c>
      <c r="C63" s="404"/>
      <c r="D63" s="44" t="s">
        <v>822</v>
      </c>
    </row>
    <row r="64" spans="1:4" x14ac:dyDescent="0.25">
      <c r="A64" s="222">
        <v>1063</v>
      </c>
      <c r="B64" s="221" t="s">
        <v>265</v>
      </c>
      <c r="C64" s="402" t="s">
        <v>823</v>
      </c>
      <c r="D64" s="276" t="s">
        <v>824</v>
      </c>
    </row>
    <row r="65" spans="1:4" x14ac:dyDescent="0.25">
      <c r="A65" s="218">
        <v>1064</v>
      </c>
      <c r="B65" s="217" t="s">
        <v>266</v>
      </c>
      <c r="C65" s="403"/>
      <c r="D65" s="273" t="s">
        <v>10</v>
      </c>
    </row>
    <row r="66" spans="1:4" x14ac:dyDescent="0.25">
      <c r="A66" s="218">
        <v>1065</v>
      </c>
      <c r="B66" s="217" t="s">
        <v>267</v>
      </c>
      <c r="C66" s="403"/>
      <c r="D66" s="273" t="s">
        <v>10</v>
      </c>
    </row>
    <row r="67" spans="1:4" x14ac:dyDescent="0.25">
      <c r="A67" s="218">
        <v>1066</v>
      </c>
      <c r="B67" s="217" t="s">
        <v>268</v>
      </c>
      <c r="C67" s="403"/>
      <c r="D67" s="273" t="s">
        <v>10</v>
      </c>
    </row>
    <row r="68" spans="1:4" x14ac:dyDescent="0.25">
      <c r="A68" s="218">
        <v>1067</v>
      </c>
      <c r="B68" s="217" t="s">
        <v>269</v>
      </c>
      <c r="C68" s="403"/>
      <c r="D68" s="273" t="s">
        <v>10</v>
      </c>
    </row>
    <row r="69" spans="1:4" x14ac:dyDescent="0.25">
      <c r="A69" s="218">
        <v>1068</v>
      </c>
      <c r="B69" s="217" t="s">
        <v>759</v>
      </c>
      <c r="C69" s="403"/>
      <c r="D69" s="273" t="s">
        <v>10</v>
      </c>
    </row>
    <row r="70" spans="1:4" ht="15.75" thickBot="1" x14ac:dyDescent="0.3">
      <c r="A70" s="220">
        <v>1069</v>
      </c>
      <c r="B70" s="219" t="s">
        <v>760</v>
      </c>
      <c r="C70" s="404"/>
      <c r="D70" s="44" t="s">
        <v>10</v>
      </c>
    </row>
    <row r="71" spans="1:4" x14ac:dyDescent="0.25">
      <c r="A71" s="281">
        <v>1070</v>
      </c>
      <c r="B71" s="282" t="s">
        <v>761</v>
      </c>
      <c r="C71" s="402" t="s">
        <v>811</v>
      </c>
      <c r="D71" s="271" t="s">
        <v>477</v>
      </c>
    </row>
    <row r="72" spans="1:4" x14ac:dyDescent="0.25">
      <c r="A72" s="297">
        <v>1071</v>
      </c>
      <c r="B72" s="298" t="s">
        <v>762</v>
      </c>
      <c r="C72" s="403"/>
      <c r="D72" s="271" t="s">
        <v>831</v>
      </c>
    </row>
    <row r="73" spans="1:4" ht="30" x14ac:dyDescent="0.25">
      <c r="A73" s="297">
        <v>1072</v>
      </c>
      <c r="B73" s="298" t="s">
        <v>351</v>
      </c>
      <c r="C73" s="403"/>
      <c r="D73" s="139" t="s">
        <v>453</v>
      </c>
    </row>
    <row r="74" spans="1:4" ht="30" x14ac:dyDescent="0.25">
      <c r="A74" s="297">
        <v>1073</v>
      </c>
      <c r="B74" s="298" t="s">
        <v>763</v>
      </c>
      <c r="C74" s="403"/>
      <c r="D74" s="139" t="s">
        <v>454</v>
      </c>
    </row>
    <row r="75" spans="1:4" ht="30" x14ac:dyDescent="0.25">
      <c r="A75" s="297">
        <v>1074</v>
      </c>
      <c r="B75" s="298" t="s">
        <v>352</v>
      </c>
      <c r="C75" s="403"/>
      <c r="D75" s="139" t="s">
        <v>827</v>
      </c>
    </row>
    <row r="76" spans="1:4" ht="30" x14ac:dyDescent="0.25">
      <c r="A76" s="297">
        <v>1075</v>
      </c>
      <c r="B76" s="298" t="s">
        <v>764</v>
      </c>
      <c r="C76" s="403"/>
      <c r="D76" s="139" t="s">
        <v>828</v>
      </c>
    </row>
    <row r="77" spans="1:4" x14ac:dyDescent="0.25">
      <c r="A77" s="297">
        <v>1076</v>
      </c>
      <c r="B77" s="298" t="s">
        <v>765</v>
      </c>
      <c r="C77" s="403"/>
      <c r="D77" s="139" t="s">
        <v>830</v>
      </c>
    </row>
    <row r="78" spans="1:4" ht="30" x14ac:dyDescent="0.25">
      <c r="A78" s="297">
        <v>1077</v>
      </c>
      <c r="B78" s="298" t="s">
        <v>766</v>
      </c>
      <c r="C78" s="403"/>
      <c r="D78" s="139" t="s">
        <v>829</v>
      </c>
    </row>
    <row r="79" spans="1:4" x14ac:dyDescent="0.25">
      <c r="A79" s="297">
        <v>1078</v>
      </c>
      <c r="B79" s="298" t="s">
        <v>767</v>
      </c>
      <c r="C79" s="403"/>
      <c r="D79" s="278" t="s">
        <v>825</v>
      </c>
    </row>
    <row r="80" spans="1:4" x14ac:dyDescent="0.25">
      <c r="A80" s="297">
        <v>1079</v>
      </c>
      <c r="B80" s="298" t="s">
        <v>768</v>
      </c>
      <c r="C80" s="403"/>
      <c r="D80" s="273" t="s">
        <v>10</v>
      </c>
    </row>
    <row r="81" spans="1:4" x14ac:dyDescent="0.25">
      <c r="A81" s="297">
        <v>1080</v>
      </c>
      <c r="B81" s="298" t="s">
        <v>769</v>
      </c>
      <c r="C81" s="403"/>
      <c r="D81" s="273" t="s">
        <v>10</v>
      </c>
    </row>
    <row r="82" spans="1:4" ht="15.75" thickBot="1" x14ac:dyDescent="0.3">
      <c r="A82" s="283">
        <v>1081</v>
      </c>
      <c r="B82" s="284" t="s">
        <v>770</v>
      </c>
      <c r="C82" s="404"/>
      <c r="D82" s="44" t="s">
        <v>10</v>
      </c>
    </row>
    <row r="83" spans="1:4" x14ac:dyDescent="0.25">
      <c r="A83" s="285">
        <v>1082</v>
      </c>
      <c r="B83" s="286" t="s">
        <v>771</v>
      </c>
      <c r="C83" s="402" t="s">
        <v>450</v>
      </c>
      <c r="D83" s="276" t="s">
        <v>826</v>
      </c>
    </row>
    <row r="84" spans="1:4" x14ac:dyDescent="0.25">
      <c r="A84" s="287">
        <v>1083</v>
      </c>
      <c r="B84" s="288" t="s">
        <v>772</v>
      </c>
      <c r="C84" s="403"/>
      <c r="D84" s="273" t="s">
        <v>10</v>
      </c>
    </row>
    <row r="85" spans="1:4" x14ac:dyDescent="0.25">
      <c r="A85" s="287">
        <v>1084</v>
      </c>
      <c r="B85" s="288" t="s">
        <v>773</v>
      </c>
      <c r="C85" s="403"/>
      <c r="D85" s="273" t="s">
        <v>10</v>
      </c>
    </row>
    <row r="86" spans="1:4" x14ac:dyDescent="0.25">
      <c r="A86" s="287">
        <v>1085</v>
      </c>
      <c r="B86" s="288" t="s">
        <v>774</v>
      </c>
      <c r="C86" s="403"/>
      <c r="D86" s="273" t="s">
        <v>10</v>
      </c>
    </row>
    <row r="87" spans="1:4" ht="15.75" thickBot="1" x14ac:dyDescent="0.3">
      <c r="A87" s="289">
        <v>1086</v>
      </c>
      <c r="B87" s="290" t="s">
        <v>775</v>
      </c>
      <c r="C87" s="404"/>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8" t="s">
        <v>89</v>
      </c>
      <c r="B1" s="13" t="s">
        <v>92</v>
      </c>
      <c r="C1" s="329" t="s">
        <v>480</v>
      </c>
      <c r="D1" s="329" t="s">
        <v>0</v>
      </c>
    </row>
    <row r="2" spans="1:4" x14ac:dyDescent="0.25">
      <c r="A2" s="183">
        <v>2001</v>
      </c>
      <c r="B2" s="184" t="s">
        <v>270</v>
      </c>
      <c r="C2" s="402" t="s">
        <v>361</v>
      </c>
      <c r="D2" s="146" t="s">
        <v>363</v>
      </c>
    </row>
    <row r="3" spans="1:4" x14ac:dyDescent="0.25">
      <c r="A3" s="301">
        <v>2002</v>
      </c>
      <c r="B3" s="307" t="s">
        <v>271</v>
      </c>
      <c r="C3" s="403"/>
      <c r="D3" s="271" t="s">
        <v>10</v>
      </c>
    </row>
    <row r="4" spans="1:4" x14ac:dyDescent="0.25">
      <c r="A4" s="301">
        <v>2003</v>
      </c>
      <c r="B4" s="307" t="s">
        <v>272</v>
      </c>
      <c r="C4" s="403"/>
      <c r="D4" s="271" t="s">
        <v>10</v>
      </c>
    </row>
    <row r="5" spans="1:4" x14ac:dyDescent="0.25">
      <c r="A5" s="301">
        <v>2004</v>
      </c>
      <c r="B5" s="307" t="s">
        <v>273</v>
      </c>
      <c r="C5" s="403"/>
      <c r="D5" s="271" t="s">
        <v>10</v>
      </c>
    </row>
    <row r="6" spans="1:4" x14ac:dyDescent="0.25">
      <c r="A6" s="301">
        <v>2005</v>
      </c>
      <c r="B6" s="307" t="s">
        <v>274</v>
      </c>
      <c r="C6" s="403"/>
      <c r="D6" s="271" t="s">
        <v>10</v>
      </c>
    </row>
    <row r="7" spans="1:4" ht="15.75" thickBot="1" x14ac:dyDescent="0.3">
      <c r="A7" s="185">
        <v>2006</v>
      </c>
      <c r="B7" s="186" t="s">
        <v>275</v>
      </c>
      <c r="C7" s="404"/>
      <c r="D7" s="143" t="s">
        <v>10</v>
      </c>
    </row>
    <row r="8" spans="1:4" ht="15.75" thickBot="1" x14ac:dyDescent="0.3">
      <c r="A8" s="187">
        <v>2007</v>
      </c>
      <c r="B8" s="188" t="s">
        <v>276</v>
      </c>
      <c r="C8" s="189" t="s">
        <v>464</v>
      </c>
      <c r="D8" s="190" t="s">
        <v>465</v>
      </c>
    </row>
    <row r="9" spans="1:4" x14ac:dyDescent="0.25">
      <c r="A9" s="135">
        <v>2008</v>
      </c>
      <c r="B9" s="136" t="s">
        <v>277</v>
      </c>
      <c r="C9" s="405" t="s">
        <v>466</v>
      </c>
      <c r="D9" s="146" t="s">
        <v>467</v>
      </c>
    </row>
    <row r="10" spans="1:4" x14ac:dyDescent="0.25">
      <c r="A10" s="299">
        <v>2009</v>
      </c>
      <c r="B10" s="138" t="s">
        <v>278</v>
      </c>
      <c r="C10" s="406"/>
      <c r="D10" s="271" t="s">
        <v>468</v>
      </c>
    </row>
    <row r="11" spans="1:4" x14ac:dyDescent="0.25">
      <c r="A11" s="299">
        <v>2010</v>
      </c>
      <c r="B11" s="138" t="s">
        <v>776</v>
      </c>
      <c r="C11" s="406"/>
      <c r="D11" s="271" t="s">
        <v>824</v>
      </c>
    </row>
    <row r="12" spans="1:4" x14ac:dyDescent="0.25">
      <c r="A12" s="299">
        <v>2011</v>
      </c>
      <c r="B12" s="138" t="s">
        <v>777</v>
      </c>
      <c r="C12" s="406"/>
      <c r="D12" s="271" t="s">
        <v>10</v>
      </c>
    </row>
    <row r="13" spans="1:4" x14ac:dyDescent="0.25">
      <c r="A13" s="299">
        <v>2012</v>
      </c>
      <c r="B13" s="138" t="s">
        <v>778</v>
      </c>
      <c r="C13" s="406"/>
      <c r="D13" s="271" t="s">
        <v>10</v>
      </c>
    </row>
    <row r="14" spans="1:4" x14ac:dyDescent="0.25">
      <c r="A14" s="299">
        <v>2013</v>
      </c>
      <c r="B14" s="138" t="s">
        <v>779</v>
      </c>
      <c r="C14" s="406"/>
      <c r="D14" s="271" t="s">
        <v>10</v>
      </c>
    </row>
    <row r="15" spans="1:4" x14ac:dyDescent="0.25">
      <c r="A15" s="299">
        <v>2014</v>
      </c>
      <c r="B15" s="138" t="s">
        <v>780</v>
      </c>
      <c r="C15" s="406"/>
      <c r="D15" s="271" t="s">
        <v>10</v>
      </c>
    </row>
    <row r="16" spans="1:4" x14ac:dyDescent="0.25">
      <c r="A16" s="299">
        <v>2015</v>
      </c>
      <c r="B16" s="138" t="s">
        <v>781</v>
      </c>
      <c r="C16" s="406"/>
      <c r="D16" s="271" t="s">
        <v>10</v>
      </c>
    </row>
    <row r="17" spans="1:4" ht="15.75" thickBot="1" x14ac:dyDescent="0.3">
      <c r="A17" s="140">
        <v>2016</v>
      </c>
      <c r="B17" s="178" t="s">
        <v>782</v>
      </c>
      <c r="C17" s="407"/>
      <c r="D17" s="143" t="s">
        <v>10</v>
      </c>
    </row>
    <row r="18" spans="1:4" x14ac:dyDescent="0.25">
      <c r="A18" s="163">
        <v>2017</v>
      </c>
      <c r="B18" s="176" t="s">
        <v>279</v>
      </c>
      <c r="C18" s="402" t="s">
        <v>469</v>
      </c>
      <c r="D18" s="146" t="s">
        <v>470</v>
      </c>
    </row>
    <row r="19" spans="1:4" x14ac:dyDescent="0.25">
      <c r="A19" s="300">
        <v>2018</v>
      </c>
      <c r="B19" s="302" t="s">
        <v>280</v>
      </c>
      <c r="C19" s="403"/>
      <c r="D19" s="271" t="s">
        <v>471</v>
      </c>
    </row>
    <row r="20" spans="1:4" ht="15.75" thickBot="1" x14ac:dyDescent="0.3">
      <c r="A20" s="166">
        <v>2019</v>
      </c>
      <c r="B20" s="177" t="s">
        <v>281</v>
      </c>
      <c r="C20" s="404"/>
      <c r="D20" s="143" t="s">
        <v>472</v>
      </c>
    </row>
    <row r="21" spans="1:4" x14ac:dyDescent="0.25">
      <c r="A21" s="153">
        <v>2020</v>
      </c>
      <c r="B21" s="154" t="s">
        <v>282</v>
      </c>
      <c r="C21" s="405" t="s">
        <v>407</v>
      </c>
      <c r="D21" s="146" t="s">
        <v>473</v>
      </c>
    </row>
    <row r="22" spans="1:4" x14ac:dyDescent="0.25">
      <c r="A22" s="306">
        <v>2021</v>
      </c>
      <c r="B22" s="155" t="s">
        <v>283</v>
      </c>
      <c r="C22" s="406"/>
      <c r="D22" s="271" t="s">
        <v>10</v>
      </c>
    </row>
    <row r="23" spans="1:4" x14ac:dyDescent="0.25">
      <c r="A23" s="306">
        <v>2022</v>
      </c>
      <c r="B23" s="155" t="s">
        <v>284</v>
      </c>
      <c r="C23" s="406"/>
      <c r="D23" s="271" t="s">
        <v>10</v>
      </c>
    </row>
    <row r="24" spans="1:4" x14ac:dyDescent="0.25">
      <c r="A24" s="306">
        <v>2023</v>
      </c>
      <c r="B24" s="155" t="s">
        <v>285</v>
      </c>
      <c r="C24" s="406"/>
      <c r="D24" s="271" t="s">
        <v>10</v>
      </c>
    </row>
    <row r="25" spans="1:4" x14ac:dyDescent="0.25">
      <c r="A25" s="306">
        <v>2024</v>
      </c>
      <c r="B25" s="155" t="s">
        <v>286</v>
      </c>
      <c r="C25" s="406"/>
      <c r="D25" s="271" t="s">
        <v>10</v>
      </c>
    </row>
    <row r="26" spans="1:4" x14ac:dyDescent="0.25">
      <c r="A26" s="306">
        <v>2025</v>
      </c>
      <c r="B26" s="155" t="s">
        <v>287</v>
      </c>
      <c r="C26" s="406"/>
      <c r="D26" s="271" t="s">
        <v>10</v>
      </c>
    </row>
    <row r="27" spans="1:4" x14ac:dyDescent="0.25">
      <c r="A27" s="306">
        <v>2026</v>
      </c>
      <c r="B27" s="155" t="s">
        <v>288</v>
      </c>
      <c r="C27" s="406"/>
      <c r="D27" s="271" t="s">
        <v>10</v>
      </c>
    </row>
    <row r="28" spans="1:4" x14ac:dyDescent="0.25">
      <c r="A28" s="306">
        <v>2027</v>
      </c>
      <c r="B28" s="155" t="s">
        <v>289</v>
      </c>
      <c r="C28" s="406"/>
      <c r="D28" s="271" t="s">
        <v>10</v>
      </c>
    </row>
    <row r="29" spans="1:4" x14ac:dyDescent="0.25">
      <c r="A29" s="306">
        <v>2028</v>
      </c>
      <c r="B29" s="155" t="s">
        <v>290</v>
      </c>
      <c r="C29" s="406"/>
      <c r="D29" s="271" t="s">
        <v>10</v>
      </c>
    </row>
    <row r="30" spans="1:4" x14ac:dyDescent="0.25">
      <c r="A30" s="306">
        <v>2029</v>
      </c>
      <c r="B30" s="155" t="s">
        <v>291</v>
      </c>
      <c r="C30" s="406"/>
      <c r="D30" s="271" t="s">
        <v>10</v>
      </c>
    </row>
    <row r="31" spans="1:4" x14ac:dyDescent="0.25">
      <c r="A31" s="306">
        <v>2030</v>
      </c>
      <c r="B31" s="155" t="s">
        <v>292</v>
      </c>
      <c r="C31" s="406"/>
      <c r="D31" s="271" t="s">
        <v>10</v>
      </c>
    </row>
    <row r="32" spans="1:4" x14ac:dyDescent="0.25">
      <c r="A32" s="306">
        <v>2031</v>
      </c>
      <c r="B32" s="155" t="s">
        <v>293</v>
      </c>
      <c r="C32" s="406"/>
      <c r="D32" s="271" t="s">
        <v>10</v>
      </c>
    </row>
    <row r="33" spans="1:4" x14ac:dyDescent="0.25">
      <c r="A33" s="306">
        <v>2032</v>
      </c>
      <c r="B33" s="155" t="s">
        <v>294</v>
      </c>
      <c r="C33" s="406"/>
      <c r="D33" s="271" t="s">
        <v>410</v>
      </c>
    </row>
    <row r="34" spans="1:4" x14ac:dyDescent="0.25">
      <c r="A34" s="306">
        <v>2033</v>
      </c>
      <c r="B34" s="155" t="s">
        <v>295</v>
      </c>
      <c r="C34" s="406"/>
      <c r="D34" s="271" t="s">
        <v>411</v>
      </c>
    </row>
    <row r="35" spans="1:4" x14ac:dyDescent="0.25">
      <c r="A35" s="306">
        <v>2034</v>
      </c>
      <c r="B35" s="155" t="s">
        <v>296</v>
      </c>
      <c r="C35" s="406"/>
      <c r="D35" s="271" t="s">
        <v>412</v>
      </c>
    </row>
    <row r="36" spans="1:4" x14ac:dyDescent="0.25">
      <c r="A36" s="306">
        <v>2035</v>
      </c>
      <c r="B36" s="155" t="s">
        <v>297</v>
      </c>
      <c r="C36" s="406"/>
      <c r="D36" s="271" t="s">
        <v>413</v>
      </c>
    </row>
    <row r="37" spans="1:4" x14ac:dyDescent="0.25">
      <c r="A37" s="306">
        <v>2036</v>
      </c>
      <c r="B37" s="155" t="s">
        <v>298</v>
      </c>
      <c r="C37" s="406"/>
      <c r="D37" s="271" t="s">
        <v>474</v>
      </c>
    </row>
    <row r="38" spans="1:4" x14ac:dyDescent="0.25">
      <c r="A38" s="306">
        <v>2037</v>
      </c>
      <c r="B38" s="155" t="s">
        <v>299</v>
      </c>
      <c r="C38" s="406"/>
      <c r="D38" s="271" t="s">
        <v>474</v>
      </c>
    </row>
    <row r="39" spans="1:4" x14ac:dyDescent="0.25">
      <c r="A39" s="306">
        <v>2038</v>
      </c>
      <c r="B39" s="155" t="s">
        <v>300</v>
      </c>
      <c r="C39" s="406"/>
      <c r="D39" s="271" t="s">
        <v>440</v>
      </c>
    </row>
    <row r="40" spans="1:4" x14ac:dyDescent="0.25">
      <c r="A40" s="306">
        <v>2039</v>
      </c>
      <c r="B40" s="155" t="s">
        <v>301</v>
      </c>
      <c r="C40" s="406"/>
      <c r="D40" s="271" t="s">
        <v>440</v>
      </c>
    </row>
    <row r="41" spans="1:4" x14ac:dyDescent="0.25">
      <c r="A41" s="306">
        <v>2040</v>
      </c>
      <c r="B41" s="155" t="s">
        <v>302</v>
      </c>
      <c r="C41" s="406"/>
      <c r="D41" s="271" t="s">
        <v>414</v>
      </c>
    </row>
    <row r="42" spans="1:4" x14ac:dyDescent="0.25">
      <c r="A42" s="306">
        <v>2041</v>
      </c>
      <c r="B42" s="155" t="s">
        <v>303</v>
      </c>
      <c r="C42" s="406"/>
      <c r="D42" s="271" t="s">
        <v>415</v>
      </c>
    </row>
    <row r="43" spans="1:4" x14ac:dyDescent="0.25">
      <c r="A43" s="306">
        <v>2042</v>
      </c>
      <c r="B43" s="155" t="s">
        <v>789</v>
      </c>
      <c r="C43" s="406"/>
      <c r="D43" s="271" t="s">
        <v>808</v>
      </c>
    </row>
    <row r="44" spans="1:4" x14ac:dyDescent="0.25">
      <c r="A44" s="306">
        <v>2043</v>
      </c>
      <c r="B44" s="155" t="s">
        <v>790</v>
      </c>
      <c r="C44" s="406"/>
      <c r="D44" s="271" t="s">
        <v>809</v>
      </c>
    </row>
    <row r="45" spans="1:4" x14ac:dyDescent="0.25">
      <c r="A45" s="306">
        <v>2044</v>
      </c>
      <c r="B45" s="155" t="s">
        <v>304</v>
      </c>
      <c r="C45" s="406"/>
      <c r="D45" s="271" t="s">
        <v>475</v>
      </c>
    </row>
    <row r="46" spans="1:4" x14ac:dyDescent="0.25">
      <c r="A46" s="306">
        <v>2045</v>
      </c>
      <c r="B46" s="155" t="s">
        <v>355</v>
      </c>
      <c r="C46" s="406"/>
      <c r="D46" s="271" t="s">
        <v>476</v>
      </c>
    </row>
    <row r="47" spans="1:4" x14ac:dyDescent="0.25">
      <c r="A47" s="306">
        <v>2046</v>
      </c>
      <c r="B47" s="155" t="s">
        <v>787</v>
      </c>
      <c r="C47" s="406"/>
      <c r="D47" s="271" t="s">
        <v>800</v>
      </c>
    </row>
    <row r="48" spans="1:4" ht="15.75" thickBot="1" x14ac:dyDescent="0.3">
      <c r="A48" s="158">
        <v>2047</v>
      </c>
      <c r="B48" s="175" t="s">
        <v>788</v>
      </c>
      <c r="C48" s="407"/>
      <c r="D48" s="143" t="s">
        <v>801</v>
      </c>
    </row>
    <row r="49" spans="1:4" ht="15" customHeight="1" x14ac:dyDescent="0.25">
      <c r="A49" s="163">
        <v>2048</v>
      </c>
      <c r="B49" s="176" t="s">
        <v>305</v>
      </c>
      <c r="C49" s="402" t="s">
        <v>469</v>
      </c>
      <c r="D49" s="146" t="s">
        <v>399</v>
      </c>
    </row>
    <row r="50" spans="1:4" x14ac:dyDescent="0.25">
      <c r="A50" s="300">
        <v>2049</v>
      </c>
      <c r="B50" s="302" t="s">
        <v>306</v>
      </c>
      <c r="C50" s="403"/>
      <c r="D50" s="271" t="s">
        <v>400</v>
      </c>
    </row>
    <row r="51" spans="1:4" x14ac:dyDescent="0.25">
      <c r="A51" s="300">
        <v>2050</v>
      </c>
      <c r="B51" s="302" t="s">
        <v>791</v>
      </c>
      <c r="C51" s="403"/>
      <c r="D51" s="271" t="s">
        <v>401</v>
      </c>
    </row>
    <row r="52" spans="1:4" x14ac:dyDescent="0.25">
      <c r="A52" s="300">
        <v>2051</v>
      </c>
      <c r="B52" s="302" t="s">
        <v>792</v>
      </c>
      <c r="C52" s="403"/>
      <c r="D52" s="271" t="s">
        <v>402</v>
      </c>
    </row>
    <row r="53" spans="1:4" x14ac:dyDescent="0.25">
      <c r="A53" s="300">
        <v>2052</v>
      </c>
      <c r="B53" s="302" t="s">
        <v>307</v>
      </c>
      <c r="C53" s="403"/>
      <c r="D53" s="271" t="s">
        <v>403</v>
      </c>
    </row>
    <row r="54" spans="1:4" x14ac:dyDescent="0.25">
      <c r="A54" s="300">
        <v>2053</v>
      </c>
      <c r="B54" s="302" t="s">
        <v>308</v>
      </c>
      <c r="C54" s="403"/>
      <c r="D54" s="271" t="s">
        <v>404</v>
      </c>
    </row>
    <row r="55" spans="1:4" ht="29.45" customHeight="1" x14ac:dyDescent="0.25">
      <c r="A55" s="300">
        <v>2054</v>
      </c>
      <c r="B55" s="302" t="s">
        <v>336</v>
      </c>
      <c r="C55" s="403"/>
      <c r="D55" s="271" t="s">
        <v>832</v>
      </c>
    </row>
    <row r="56" spans="1:4" ht="15.75" thickBot="1" x14ac:dyDescent="0.3">
      <c r="A56" s="166">
        <v>2055</v>
      </c>
      <c r="B56" s="177" t="s">
        <v>337</v>
      </c>
      <c r="C56" s="404"/>
      <c r="D56" s="143" t="s">
        <v>10</v>
      </c>
    </row>
    <row r="57" spans="1:4" x14ac:dyDescent="0.25">
      <c r="A57" s="179">
        <v>2056</v>
      </c>
      <c r="B57" s="180" t="s">
        <v>783</v>
      </c>
      <c r="C57" s="402" t="s">
        <v>450</v>
      </c>
      <c r="D57" s="146" t="s">
        <v>477</v>
      </c>
    </row>
    <row r="58" spans="1:4" x14ac:dyDescent="0.25">
      <c r="A58" s="304">
        <v>2057</v>
      </c>
      <c r="B58" s="303" t="s">
        <v>784</v>
      </c>
      <c r="C58" s="403"/>
      <c r="D58" s="271" t="s">
        <v>831</v>
      </c>
    </row>
    <row r="59" spans="1:4" ht="15" customHeight="1" x14ac:dyDescent="0.25">
      <c r="A59" s="304">
        <v>2058</v>
      </c>
      <c r="B59" s="303" t="s">
        <v>309</v>
      </c>
      <c r="C59" s="403"/>
      <c r="D59" s="271" t="s">
        <v>477</v>
      </c>
    </row>
    <row r="60" spans="1:4" x14ac:dyDescent="0.25">
      <c r="A60" s="304">
        <v>2059</v>
      </c>
      <c r="B60" s="303" t="s">
        <v>310</v>
      </c>
      <c r="C60" s="403"/>
      <c r="D60" s="271" t="s">
        <v>10</v>
      </c>
    </row>
    <row r="61" spans="1:4" x14ac:dyDescent="0.25">
      <c r="A61" s="304">
        <v>2060</v>
      </c>
      <c r="B61" s="303" t="s">
        <v>311</v>
      </c>
      <c r="C61" s="403"/>
      <c r="D61" s="271" t="s">
        <v>10</v>
      </c>
    </row>
    <row r="62" spans="1:4" x14ac:dyDescent="0.25">
      <c r="A62" s="304">
        <v>2061</v>
      </c>
      <c r="B62" s="303" t="s">
        <v>312</v>
      </c>
      <c r="C62" s="403"/>
      <c r="D62" s="271" t="s">
        <v>10</v>
      </c>
    </row>
    <row r="63" spans="1:4" ht="30" x14ac:dyDescent="0.25">
      <c r="A63" s="304">
        <v>2062</v>
      </c>
      <c r="B63" s="303" t="s">
        <v>328</v>
      </c>
      <c r="C63" s="403"/>
      <c r="D63" s="271" t="s">
        <v>453</v>
      </c>
    </row>
    <row r="64" spans="1:4" ht="30" x14ac:dyDescent="0.25">
      <c r="A64" s="304">
        <v>2063</v>
      </c>
      <c r="B64" s="303" t="s">
        <v>329</v>
      </c>
      <c r="C64" s="403"/>
      <c r="D64" s="271" t="s">
        <v>454</v>
      </c>
    </row>
    <row r="65" spans="1:4" ht="30" x14ac:dyDescent="0.25">
      <c r="A65" s="304">
        <v>2064</v>
      </c>
      <c r="B65" s="303" t="s">
        <v>785</v>
      </c>
      <c r="C65" s="403"/>
      <c r="D65" s="271" t="s">
        <v>827</v>
      </c>
    </row>
    <row r="66" spans="1:4" ht="30" x14ac:dyDescent="0.25">
      <c r="A66" s="304">
        <v>2065</v>
      </c>
      <c r="B66" s="303" t="s">
        <v>786</v>
      </c>
      <c r="C66" s="403"/>
      <c r="D66" s="271" t="s">
        <v>828</v>
      </c>
    </row>
    <row r="67" spans="1:4" ht="30" x14ac:dyDescent="0.25">
      <c r="A67" s="304">
        <v>2066</v>
      </c>
      <c r="B67" s="303" t="s">
        <v>353</v>
      </c>
      <c r="C67" s="403"/>
      <c r="D67" s="271" t="s">
        <v>462</v>
      </c>
    </row>
    <row r="68" spans="1:4" ht="30" x14ac:dyDescent="0.25">
      <c r="A68" s="304">
        <v>2067</v>
      </c>
      <c r="B68" s="303" t="s">
        <v>354</v>
      </c>
      <c r="C68" s="403"/>
      <c r="D68" s="271" t="s">
        <v>463</v>
      </c>
    </row>
    <row r="69" spans="1:4" x14ac:dyDescent="0.25">
      <c r="A69" s="304">
        <v>2068</v>
      </c>
      <c r="B69" s="303" t="s">
        <v>335</v>
      </c>
      <c r="C69" s="403"/>
      <c r="D69" s="271" t="s">
        <v>455</v>
      </c>
    </row>
    <row r="70" spans="1:4" x14ac:dyDescent="0.25">
      <c r="A70" s="304">
        <v>2069</v>
      </c>
      <c r="B70" s="303" t="s">
        <v>331</v>
      </c>
      <c r="C70" s="403"/>
      <c r="D70" s="271" t="s">
        <v>10</v>
      </c>
    </row>
    <row r="71" spans="1:4" x14ac:dyDescent="0.25">
      <c r="A71" s="304">
        <v>2070</v>
      </c>
      <c r="B71" s="303" t="s">
        <v>332</v>
      </c>
      <c r="C71" s="403"/>
      <c r="D71" s="271" t="s">
        <v>10</v>
      </c>
    </row>
    <row r="72" spans="1:4" x14ac:dyDescent="0.25">
      <c r="A72" s="304">
        <v>2071</v>
      </c>
      <c r="B72" s="303" t="s">
        <v>334</v>
      </c>
      <c r="C72" s="403"/>
      <c r="D72" s="271" t="s">
        <v>10</v>
      </c>
    </row>
    <row r="73" spans="1:4" x14ac:dyDescent="0.25">
      <c r="A73" s="304">
        <v>2072</v>
      </c>
      <c r="B73" s="303" t="s">
        <v>333</v>
      </c>
      <c r="C73" s="403"/>
      <c r="D73" s="271" t="s">
        <v>10</v>
      </c>
    </row>
    <row r="74" spans="1:4" x14ac:dyDescent="0.25">
      <c r="A74" s="304">
        <v>2073</v>
      </c>
      <c r="B74" s="303" t="s">
        <v>313</v>
      </c>
      <c r="C74" s="403"/>
      <c r="D74" s="271" t="s">
        <v>456</v>
      </c>
    </row>
    <row r="75" spans="1:4" x14ac:dyDescent="0.25">
      <c r="A75" s="304">
        <v>2074</v>
      </c>
      <c r="B75" s="303" t="s">
        <v>314</v>
      </c>
      <c r="C75" s="403"/>
      <c r="D75" s="271" t="s">
        <v>457</v>
      </c>
    </row>
    <row r="76" spans="1:4" x14ac:dyDescent="0.25">
      <c r="A76" s="304">
        <v>2075</v>
      </c>
      <c r="B76" s="303" t="s">
        <v>315</v>
      </c>
      <c r="C76" s="403"/>
      <c r="D76" s="271" t="s">
        <v>458</v>
      </c>
    </row>
    <row r="77" spans="1:4" ht="15.75" thickBot="1" x14ac:dyDescent="0.3">
      <c r="A77" s="181">
        <v>2076</v>
      </c>
      <c r="B77" s="182" t="s">
        <v>316</v>
      </c>
      <c r="C77" s="404"/>
      <c r="D77" s="143" t="s">
        <v>459</v>
      </c>
    </row>
    <row r="78" spans="1:4" ht="15.75" thickBot="1" x14ac:dyDescent="0.3">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30" t="s">
        <v>89</v>
      </c>
      <c r="B1" s="315" t="s">
        <v>92</v>
      </c>
      <c r="C1" s="332" t="s">
        <v>480</v>
      </c>
      <c r="D1" s="342" t="s">
        <v>0</v>
      </c>
    </row>
    <row r="2" spans="1:4" x14ac:dyDescent="0.25">
      <c r="A2" s="334"/>
      <c r="B2" s="334"/>
      <c r="C2" s="410" t="s">
        <v>848</v>
      </c>
      <c r="D2" s="408" t="s">
        <v>912</v>
      </c>
    </row>
    <row r="3" spans="1:4" x14ac:dyDescent="0.25">
      <c r="A3" s="334"/>
      <c r="B3" s="334"/>
      <c r="C3" s="410"/>
      <c r="D3" s="408"/>
    </row>
    <row r="4" spans="1:4" x14ac:dyDescent="0.25">
      <c r="A4" s="334"/>
      <c r="B4" s="334"/>
      <c r="C4" s="410"/>
      <c r="D4" s="408"/>
    </row>
    <row r="5" spans="1:4" x14ac:dyDescent="0.25">
      <c r="A5" s="334"/>
      <c r="B5" s="334"/>
      <c r="C5" s="410"/>
      <c r="D5" s="408"/>
    </row>
    <row r="6" spans="1:4" x14ac:dyDescent="0.25">
      <c r="A6" s="334"/>
      <c r="B6" s="334"/>
      <c r="C6" s="410"/>
      <c r="D6" s="408"/>
    </row>
    <row r="7" spans="1:4" x14ac:dyDescent="0.25">
      <c r="A7" s="334"/>
      <c r="B7" s="334"/>
      <c r="C7" s="410"/>
      <c r="D7" s="408"/>
    </row>
    <row r="8" spans="1:4" x14ac:dyDescent="0.25">
      <c r="A8" s="334"/>
      <c r="B8" s="334"/>
      <c r="C8" s="410"/>
      <c r="D8" s="408"/>
    </row>
    <row r="9" spans="1:4" x14ac:dyDescent="0.25">
      <c r="A9" s="334"/>
      <c r="B9" s="334"/>
      <c r="C9" s="410"/>
      <c r="D9" s="408"/>
    </row>
    <row r="10" spans="1:4" x14ac:dyDescent="0.25">
      <c r="A10" s="334"/>
      <c r="B10" s="334"/>
      <c r="C10" s="410"/>
      <c r="D10" s="408"/>
    </row>
    <row r="11" spans="1:4" x14ac:dyDescent="0.25">
      <c r="A11" s="334"/>
      <c r="B11" s="334"/>
      <c r="C11" s="410"/>
      <c r="D11" s="408"/>
    </row>
    <row r="12" spans="1:4" x14ac:dyDescent="0.25">
      <c r="A12" s="334"/>
      <c r="B12" s="334"/>
      <c r="C12" s="410"/>
      <c r="D12" s="408"/>
    </row>
    <row r="13" spans="1:4" x14ac:dyDescent="0.25">
      <c r="A13" s="334"/>
      <c r="B13" s="334"/>
      <c r="C13" s="410"/>
      <c r="D13" s="408"/>
    </row>
    <row r="14" spans="1:4" x14ac:dyDescent="0.25">
      <c r="A14" s="334"/>
      <c r="B14" s="334"/>
      <c r="C14" s="410"/>
      <c r="D14" s="408"/>
    </row>
    <row r="15" spans="1:4" x14ac:dyDescent="0.25">
      <c r="A15" s="334"/>
      <c r="B15" s="334"/>
      <c r="C15" s="410"/>
      <c r="D15" s="408"/>
    </row>
    <row r="16" spans="1:4" x14ac:dyDescent="0.25">
      <c r="A16" s="334"/>
      <c r="B16" s="334"/>
      <c r="C16" s="410"/>
      <c r="D16" s="408"/>
    </row>
    <row r="17" spans="1:4" ht="15.75" thickBot="1" x14ac:dyDescent="0.3">
      <c r="A17" s="316"/>
      <c r="B17" s="316"/>
      <c r="C17" s="411"/>
      <c r="D17" s="409"/>
    </row>
    <row r="18" spans="1:4" ht="14.45" customHeight="1" x14ac:dyDescent="0.25">
      <c r="A18" s="336"/>
      <c r="B18" s="336"/>
      <c r="C18" s="403" t="s">
        <v>361</v>
      </c>
      <c r="D18" s="408" t="s">
        <v>849</v>
      </c>
    </row>
    <row r="19" spans="1:4" x14ac:dyDescent="0.25">
      <c r="A19" s="336"/>
      <c r="B19" s="336"/>
      <c r="C19" s="403"/>
      <c r="D19" s="408"/>
    </row>
    <row r="20" spans="1:4" x14ac:dyDescent="0.25">
      <c r="A20" s="336"/>
      <c r="B20" s="336"/>
      <c r="C20" s="403"/>
      <c r="D20" s="408"/>
    </row>
    <row r="21" spans="1:4" x14ac:dyDescent="0.25">
      <c r="A21" s="336"/>
      <c r="B21" s="336"/>
      <c r="C21" s="403"/>
      <c r="D21" s="408"/>
    </row>
    <row r="22" spans="1:4" x14ac:dyDescent="0.25">
      <c r="A22" s="336"/>
      <c r="B22" s="336"/>
      <c r="C22" s="403"/>
      <c r="D22" s="408"/>
    </row>
    <row r="23" spans="1:4" x14ac:dyDescent="0.25">
      <c r="A23" s="336"/>
      <c r="B23" s="336"/>
      <c r="C23" s="403"/>
      <c r="D23" s="408"/>
    </row>
    <row r="24" spans="1:4" x14ac:dyDescent="0.25">
      <c r="A24" s="336"/>
      <c r="B24" s="336"/>
      <c r="C24" s="403"/>
      <c r="D24" s="408"/>
    </row>
    <row r="25" spans="1:4" x14ac:dyDescent="0.25">
      <c r="A25" s="336"/>
      <c r="B25" s="336"/>
      <c r="C25" s="403"/>
      <c r="D25" s="408"/>
    </row>
    <row r="26" spans="1:4" ht="14.45" customHeight="1" x14ac:dyDescent="0.25">
      <c r="A26" s="336"/>
      <c r="B26" s="336"/>
      <c r="C26" s="403"/>
      <c r="D26" s="408"/>
    </row>
    <row r="27" spans="1:4" x14ac:dyDescent="0.25">
      <c r="A27" s="336"/>
      <c r="B27" s="336"/>
      <c r="C27" s="403"/>
      <c r="D27" s="408"/>
    </row>
    <row r="28" spans="1:4" x14ac:dyDescent="0.25">
      <c r="A28" s="336"/>
      <c r="B28" s="336"/>
      <c r="C28" s="403"/>
      <c r="D28" s="408"/>
    </row>
    <row r="29" spans="1:4" x14ac:dyDescent="0.25">
      <c r="A29" s="336"/>
      <c r="B29" s="336"/>
      <c r="C29" s="403"/>
      <c r="D29" s="408"/>
    </row>
    <row r="30" spans="1:4" x14ac:dyDescent="0.25">
      <c r="A30" s="336"/>
      <c r="B30" s="336"/>
      <c r="C30" s="403"/>
      <c r="D30" s="408"/>
    </row>
    <row r="31" spans="1:4" x14ac:dyDescent="0.25">
      <c r="A31" s="336"/>
      <c r="B31" s="336"/>
      <c r="C31" s="403"/>
      <c r="D31" s="408"/>
    </row>
    <row r="32" spans="1:4" x14ac:dyDescent="0.25">
      <c r="A32" s="336"/>
      <c r="B32" s="336"/>
      <c r="C32" s="403"/>
      <c r="D32" s="408"/>
    </row>
    <row r="33" spans="1:4" x14ac:dyDescent="0.25">
      <c r="A33" s="336"/>
      <c r="B33" s="336"/>
      <c r="C33" s="403"/>
      <c r="D33" s="408"/>
    </row>
    <row r="34" spans="1:4" x14ac:dyDescent="0.25">
      <c r="A34" s="336"/>
      <c r="B34" s="336"/>
      <c r="C34" s="403"/>
      <c r="D34" s="408"/>
    </row>
    <row r="35" spans="1:4" x14ac:dyDescent="0.25">
      <c r="A35" s="336"/>
      <c r="B35" s="336"/>
      <c r="C35" s="403"/>
      <c r="D35" s="408"/>
    </row>
    <row r="36" spans="1:4" x14ac:dyDescent="0.25">
      <c r="A36" s="336"/>
      <c r="B36" s="336"/>
      <c r="C36" s="403"/>
      <c r="D36" s="408"/>
    </row>
    <row r="37" spans="1:4" ht="15.75" thickBot="1" x14ac:dyDescent="0.3">
      <c r="A37" s="317"/>
      <c r="B37" s="317"/>
      <c r="C37" s="404"/>
      <c r="D37" s="409"/>
    </row>
    <row r="38" spans="1:4" ht="14.45" customHeight="1" x14ac:dyDescent="0.25">
      <c r="A38" s="335"/>
      <c r="B38" s="335"/>
      <c r="C38" s="403" t="s">
        <v>850</v>
      </c>
      <c r="D38" s="408" t="s">
        <v>851</v>
      </c>
    </row>
    <row r="39" spans="1:4" x14ac:dyDescent="0.25">
      <c r="A39" s="335"/>
      <c r="B39" s="335"/>
      <c r="C39" s="403"/>
      <c r="D39" s="408"/>
    </row>
    <row r="40" spans="1:4" x14ac:dyDescent="0.25">
      <c r="A40" s="335"/>
      <c r="B40" s="335"/>
      <c r="C40" s="403"/>
      <c r="D40" s="408"/>
    </row>
    <row r="41" spans="1:4" x14ac:dyDescent="0.25">
      <c r="A41" s="335"/>
      <c r="B41" s="335"/>
      <c r="C41" s="403"/>
      <c r="D41" s="408"/>
    </row>
    <row r="42" spans="1:4" x14ac:dyDescent="0.25">
      <c r="A42" s="335"/>
      <c r="B42" s="335"/>
      <c r="C42" s="403"/>
      <c r="D42" s="408"/>
    </row>
    <row r="43" spans="1:4" x14ac:dyDescent="0.25">
      <c r="A43" s="335"/>
      <c r="B43" s="335"/>
      <c r="C43" s="403"/>
      <c r="D43" s="408"/>
    </row>
    <row r="44" spans="1:4" x14ac:dyDescent="0.25">
      <c r="A44" s="335"/>
      <c r="B44" s="335"/>
      <c r="C44" s="403"/>
      <c r="D44" s="408"/>
    </row>
    <row r="45" spans="1:4" x14ac:dyDescent="0.25">
      <c r="A45" s="335"/>
      <c r="B45" s="335"/>
      <c r="C45" s="403"/>
      <c r="D45" s="408"/>
    </row>
    <row r="46" spans="1:4" x14ac:dyDescent="0.25">
      <c r="A46" s="335"/>
      <c r="B46" s="335"/>
      <c r="C46" s="403"/>
      <c r="D46" s="408"/>
    </row>
    <row r="47" spans="1:4" x14ac:dyDescent="0.25">
      <c r="A47" s="335"/>
      <c r="B47" s="335"/>
      <c r="C47" s="403"/>
      <c r="D47" s="408"/>
    </row>
    <row r="48" spans="1:4" x14ac:dyDescent="0.25">
      <c r="A48" s="335"/>
      <c r="B48" s="335"/>
      <c r="C48" s="403"/>
      <c r="D48" s="408"/>
    </row>
    <row r="49" spans="1:4" x14ac:dyDescent="0.25">
      <c r="A49" s="335"/>
      <c r="B49" s="335"/>
      <c r="C49" s="403"/>
      <c r="D49" s="408"/>
    </row>
    <row r="50" spans="1:4" x14ac:dyDescent="0.25">
      <c r="A50" s="335"/>
      <c r="B50" s="335"/>
      <c r="C50" s="403"/>
      <c r="D50" s="408"/>
    </row>
    <row r="51" spans="1:4" x14ac:dyDescent="0.25">
      <c r="A51" s="335"/>
      <c r="B51" s="335"/>
      <c r="C51" s="403"/>
      <c r="D51" s="408"/>
    </row>
    <row r="52" spans="1:4" x14ac:dyDescent="0.25">
      <c r="A52" s="335"/>
      <c r="B52" s="335"/>
      <c r="C52" s="403"/>
      <c r="D52" s="408"/>
    </row>
    <row r="53" spans="1:4" x14ac:dyDescent="0.25">
      <c r="A53" s="335"/>
      <c r="B53" s="335"/>
      <c r="C53" s="403"/>
      <c r="D53" s="408"/>
    </row>
    <row r="54" spans="1:4" x14ac:dyDescent="0.25">
      <c r="A54" s="335"/>
      <c r="B54" s="335"/>
      <c r="C54" s="403"/>
      <c r="D54" s="408"/>
    </row>
    <row r="55" spans="1:4" x14ac:dyDescent="0.25">
      <c r="A55" s="335"/>
      <c r="B55" s="335"/>
      <c r="C55" s="403"/>
      <c r="D55" s="408"/>
    </row>
    <row r="56" spans="1:4" x14ac:dyDescent="0.25">
      <c r="A56" s="335"/>
      <c r="B56" s="335"/>
      <c r="C56" s="403"/>
      <c r="D56" s="408"/>
    </row>
    <row r="57" spans="1:4" ht="15.75" thickBot="1" x14ac:dyDescent="0.3">
      <c r="A57" s="318"/>
      <c r="B57" s="318"/>
      <c r="C57" s="404"/>
      <c r="D57" s="409"/>
    </row>
    <row r="58" spans="1:4" x14ac:dyDescent="0.25">
      <c r="A58" s="337"/>
      <c r="B58" s="337"/>
      <c r="C58" s="403" t="s">
        <v>852</v>
      </c>
      <c r="D58" s="408" t="s">
        <v>853</v>
      </c>
    </row>
    <row r="59" spans="1:4" x14ac:dyDescent="0.25">
      <c r="A59" s="337"/>
      <c r="B59" s="337"/>
      <c r="C59" s="403"/>
      <c r="D59" s="408"/>
    </row>
    <row r="60" spans="1:4" x14ac:dyDescent="0.25">
      <c r="A60" s="337"/>
      <c r="B60" s="337"/>
      <c r="C60" s="403"/>
      <c r="D60" s="408"/>
    </row>
    <row r="61" spans="1:4" x14ac:dyDescent="0.25">
      <c r="A61" s="337"/>
      <c r="B61" s="337"/>
      <c r="C61" s="403"/>
      <c r="D61" s="408"/>
    </row>
    <row r="62" spans="1:4" x14ac:dyDescent="0.25">
      <c r="A62" s="337"/>
      <c r="B62" s="337"/>
      <c r="C62" s="403"/>
      <c r="D62" s="408"/>
    </row>
    <row r="63" spans="1:4" x14ac:dyDescent="0.25">
      <c r="A63" s="337"/>
      <c r="B63" s="337"/>
      <c r="C63" s="403"/>
      <c r="D63" s="408"/>
    </row>
    <row r="64" spans="1:4" x14ac:dyDescent="0.25">
      <c r="A64" s="337"/>
      <c r="B64" s="337"/>
      <c r="C64" s="403"/>
      <c r="D64" s="408"/>
    </row>
    <row r="65" spans="1:4" x14ac:dyDescent="0.25">
      <c r="A65" s="337"/>
      <c r="B65" s="337"/>
      <c r="C65" s="403"/>
      <c r="D65" s="408"/>
    </row>
    <row r="66" spans="1:4" x14ac:dyDescent="0.25">
      <c r="A66" s="337"/>
      <c r="B66" s="337"/>
      <c r="C66" s="403"/>
      <c r="D66" s="408"/>
    </row>
    <row r="67" spans="1:4" x14ac:dyDescent="0.25">
      <c r="A67" s="337"/>
      <c r="B67" s="337"/>
      <c r="C67" s="403"/>
      <c r="D67" s="408"/>
    </row>
    <row r="68" spans="1:4" x14ac:dyDescent="0.25">
      <c r="A68" s="337"/>
      <c r="B68" s="337"/>
      <c r="C68" s="403"/>
      <c r="D68" s="408"/>
    </row>
    <row r="69" spans="1:4" x14ac:dyDescent="0.25">
      <c r="A69" s="337"/>
      <c r="B69" s="337"/>
      <c r="C69" s="403"/>
      <c r="D69" s="408"/>
    </row>
    <row r="70" spans="1:4" x14ac:dyDescent="0.25">
      <c r="A70" s="337"/>
      <c r="B70" s="337"/>
      <c r="C70" s="403"/>
      <c r="D70" s="408"/>
    </row>
    <row r="71" spans="1:4" x14ac:dyDescent="0.25">
      <c r="A71" s="337"/>
      <c r="B71" s="337"/>
      <c r="C71" s="403"/>
      <c r="D71" s="408"/>
    </row>
    <row r="72" spans="1:4" ht="15.75" thickBot="1" x14ac:dyDescent="0.3">
      <c r="A72" s="319"/>
      <c r="B72" s="319"/>
      <c r="C72" s="404"/>
      <c r="D72" s="409"/>
    </row>
    <row r="73" spans="1:4" x14ac:dyDescent="0.25">
      <c r="A73" s="339"/>
      <c r="B73" s="339"/>
      <c r="C73" s="403" t="s">
        <v>854</v>
      </c>
      <c r="D73" s="408" t="s">
        <v>855</v>
      </c>
    </row>
    <row r="74" spans="1:4" x14ac:dyDescent="0.25">
      <c r="A74" s="339"/>
      <c r="B74" s="339"/>
      <c r="C74" s="403"/>
      <c r="D74" s="408"/>
    </row>
    <row r="75" spans="1:4" x14ac:dyDescent="0.25">
      <c r="A75" s="339"/>
      <c r="B75" s="339"/>
      <c r="C75" s="403"/>
      <c r="D75" s="408"/>
    </row>
    <row r="76" spans="1:4" x14ac:dyDescent="0.25">
      <c r="A76" s="339"/>
      <c r="B76" s="339"/>
      <c r="C76" s="403"/>
      <c r="D76" s="408"/>
    </row>
    <row r="77" spans="1:4" x14ac:dyDescent="0.25">
      <c r="A77" s="339"/>
      <c r="B77" s="339"/>
      <c r="C77" s="403"/>
      <c r="D77" s="408"/>
    </row>
    <row r="78" spans="1:4" x14ac:dyDescent="0.25">
      <c r="A78" s="339"/>
      <c r="B78" s="339"/>
      <c r="C78" s="403"/>
      <c r="D78" s="408"/>
    </row>
    <row r="79" spans="1:4" x14ac:dyDescent="0.25">
      <c r="A79" s="339"/>
      <c r="B79" s="339"/>
      <c r="C79" s="403"/>
      <c r="D79" s="408"/>
    </row>
    <row r="80" spans="1:4" x14ac:dyDescent="0.25">
      <c r="A80" s="339"/>
      <c r="B80" s="339"/>
      <c r="C80" s="403"/>
      <c r="D80" s="408"/>
    </row>
    <row r="81" spans="1:4" x14ac:dyDescent="0.25">
      <c r="A81" s="339"/>
      <c r="B81" s="339"/>
      <c r="C81" s="403"/>
      <c r="D81" s="408"/>
    </row>
    <row r="82" spans="1:4" x14ac:dyDescent="0.25">
      <c r="A82" s="339"/>
      <c r="B82" s="339"/>
      <c r="C82" s="403"/>
      <c r="D82" s="408"/>
    </row>
    <row r="83" spans="1:4" x14ac:dyDescent="0.25">
      <c r="A83" s="339"/>
      <c r="B83" s="339"/>
      <c r="C83" s="403"/>
      <c r="D83" s="408"/>
    </row>
    <row r="84" spans="1:4" x14ac:dyDescent="0.25">
      <c r="A84" s="339"/>
      <c r="B84" s="339"/>
      <c r="C84" s="403"/>
      <c r="D84" s="408"/>
    </row>
    <row r="85" spans="1:4" x14ac:dyDescent="0.25">
      <c r="A85" s="339"/>
      <c r="B85" s="339"/>
      <c r="C85" s="403"/>
      <c r="D85" s="408"/>
    </row>
    <row r="86" spans="1:4" x14ac:dyDescent="0.25">
      <c r="A86" s="339"/>
      <c r="B86" s="339"/>
      <c r="C86" s="403"/>
      <c r="D86" s="408"/>
    </row>
    <row r="87" spans="1:4" x14ac:dyDescent="0.25">
      <c r="A87" s="339"/>
      <c r="B87" s="339"/>
      <c r="C87" s="403"/>
      <c r="D87" s="408"/>
    </row>
    <row r="88" spans="1:4" x14ac:dyDescent="0.25">
      <c r="A88" s="339"/>
      <c r="B88" s="339"/>
      <c r="C88" s="403"/>
      <c r="D88" s="408"/>
    </row>
    <row r="89" spans="1:4" ht="15.75" thickBot="1" x14ac:dyDescent="0.3">
      <c r="A89" s="320"/>
      <c r="B89" s="320"/>
      <c r="C89" s="404"/>
      <c r="D89" s="409"/>
    </row>
    <row r="90" spans="1:4" x14ac:dyDescent="0.25">
      <c r="A90" s="338"/>
      <c r="B90" s="338"/>
      <c r="C90" s="403" t="s">
        <v>856</v>
      </c>
      <c r="D90" s="408" t="s">
        <v>857</v>
      </c>
    </row>
    <row r="91" spans="1:4" x14ac:dyDescent="0.25">
      <c r="A91" s="338"/>
      <c r="B91" s="338"/>
      <c r="C91" s="403"/>
      <c r="D91" s="408"/>
    </row>
    <row r="92" spans="1:4" x14ac:dyDescent="0.25">
      <c r="A92" s="338"/>
      <c r="B92" s="338"/>
      <c r="C92" s="403"/>
      <c r="D92" s="408"/>
    </row>
    <row r="93" spans="1:4" x14ac:dyDescent="0.25">
      <c r="A93" s="338"/>
      <c r="B93" s="338"/>
      <c r="C93" s="403"/>
      <c r="D93" s="408"/>
    </row>
    <row r="94" spans="1:4" x14ac:dyDescent="0.25">
      <c r="A94" s="338"/>
      <c r="B94" s="338"/>
      <c r="C94" s="403"/>
      <c r="D94" s="408"/>
    </row>
    <row r="95" spans="1:4" x14ac:dyDescent="0.25">
      <c r="A95" s="338"/>
      <c r="B95" s="338"/>
      <c r="C95" s="403"/>
      <c r="D95" s="408"/>
    </row>
    <row r="96" spans="1:4" x14ac:dyDescent="0.25">
      <c r="A96" s="338"/>
      <c r="B96" s="338"/>
      <c r="C96" s="403"/>
      <c r="D96" s="408"/>
    </row>
    <row r="97" spans="1:4" x14ac:dyDescent="0.25">
      <c r="A97" s="338"/>
      <c r="B97" s="338"/>
      <c r="C97" s="403"/>
      <c r="D97" s="408"/>
    </row>
    <row r="98" spans="1:4" ht="15.75" thickBot="1" x14ac:dyDescent="0.3">
      <c r="A98" s="321"/>
      <c r="B98" s="321"/>
      <c r="C98" s="404"/>
      <c r="D98" s="409"/>
    </row>
    <row r="99" spans="1:4" ht="14.45" customHeight="1" x14ac:dyDescent="0.25">
      <c r="A99" s="340"/>
      <c r="B99" s="340"/>
      <c r="C99" s="406" t="s">
        <v>858</v>
      </c>
      <c r="D99" s="408" t="s">
        <v>859</v>
      </c>
    </row>
    <row r="100" spans="1:4" x14ac:dyDescent="0.25">
      <c r="A100" s="340"/>
      <c r="B100" s="340"/>
      <c r="C100" s="406"/>
      <c r="D100" s="408"/>
    </row>
    <row r="101" spans="1:4" x14ac:dyDescent="0.25">
      <c r="A101" s="340"/>
      <c r="B101" s="340"/>
      <c r="C101" s="406"/>
      <c r="D101" s="408"/>
    </row>
    <row r="102" spans="1:4" x14ac:dyDescent="0.25">
      <c r="A102" s="340"/>
      <c r="B102" s="340"/>
      <c r="C102" s="406"/>
      <c r="D102" s="408"/>
    </row>
    <row r="103" spans="1:4" x14ac:dyDescent="0.25">
      <c r="A103" s="340"/>
      <c r="B103" s="340"/>
      <c r="C103" s="406"/>
      <c r="D103" s="408"/>
    </row>
    <row r="104" spans="1:4" x14ac:dyDescent="0.25">
      <c r="A104" s="340"/>
      <c r="B104" s="340"/>
      <c r="C104" s="406"/>
      <c r="D104" s="408"/>
    </row>
    <row r="105" spans="1:4" x14ac:dyDescent="0.25">
      <c r="A105" s="340"/>
      <c r="B105" s="340"/>
      <c r="C105" s="406"/>
      <c r="D105" s="408"/>
    </row>
    <row r="106" spans="1:4" x14ac:dyDescent="0.25">
      <c r="A106" s="340"/>
      <c r="B106" s="340"/>
      <c r="C106" s="406"/>
      <c r="D106" s="408"/>
    </row>
    <row r="107" spans="1:4" x14ac:dyDescent="0.25">
      <c r="A107" s="340"/>
      <c r="B107" s="340"/>
      <c r="C107" s="406"/>
      <c r="D107" s="408"/>
    </row>
    <row r="108" spans="1:4" x14ac:dyDescent="0.25">
      <c r="A108" s="340"/>
      <c r="B108" s="340"/>
      <c r="C108" s="406"/>
      <c r="D108" s="408"/>
    </row>
    <row r="109" spans="1:4" x14ac:dyDescent="0.25">
      <c r="A109" s="340"/>
      <c r="B109" s="340"/>
      <c r="C109" s="406"/>
      <c r="D109" s="408"/>
    </row>
    <row r="110" spans="1:4" x14ac:dyDescent="0.25">
      <c r="A110" s="340"/>
      <c r="B110" s="340"/>
      <c r="C110" s="406"/>
      <c r="D110" s="408"/>
    </row>
    <row r="111" spans="1:4" ht="15.75" thickBot="1" x14ac:dyDescent="0.3">
      <c r="A111" s="322"/>
      <c r="B111" s="322"/>
      <c r="C111" s="407"/>
      <c r="D111" s="409"/>
    </row>
    <row r="112" spans="1:4" x14ac:dyDescent="0.25">
      <c r="A112" s="336"/>
      <c r="B112" s="336"/>
      <c r="C112" s="403" t="s">
        <v>860</v>
      </c>
      <c r="D112" s="408" t="s">
        <v>861</v>
      </c>
    </row>
    <row r="113" spans="1:4" x14ac:dyDescent="0.25">
      <c r="A113" s="336"/>
      <c r="B113" s="336"/>
      <c r="C113" s="403"/>
      <c r="D113" s="408"/>
    </row>
    <row r="114" spans="1:4" x14ac:dyDescent="0.25">
      <c r="A114" s="336"/>
      <c r="B114" s="336"/>
      <c r="C114" s="403"/>
      <c r="D114" s="408"/>
    </row>
    <row r="115" spans="1:4" x14ac:dyDescent="0.25">
      <c r="A115" s="336"/>
      <c r="B115" s="336"/>
      <c r="C115" s="403"/>
      <c r="D115" s="408"/>
    </row>
    <row r="116" spans="1:4" x14ac:dyDescent="0.25">
      <c r="A116" s="336"/>
      <c r="B116" s="336"/>
      <c r="C116" s="403"/>
      <c r="D116" s="408"/>
    </row>
    <row r="117" spans="1:4" x14ac:dyDescent="0.25">
      <c r="A117" s="336"/>
      <c r="B117" s="336"/>
      <c r="C117" s="403"/>
      <c r="D117" s="408"/>
    </row>
    <row r="118" spans="1:4" x14ac:dyDescent="0.25">
      <c r="A118" s="336"/>
      <c r="B118" s="336"/>
      <c r="C118" s="403"/>
      <c r="D118" s="408"/>
    </row>
    <row r="119" spans="1:4" x14ac:dyDescent="0.25">
      <c r="A119" s="336"/>
      <c r="B119" s="336"/>
      <c r="C119" s="403"/>
      <c r="D119" s="408"/>
    </row>
    <row r="120" spans="1:4" x14ac:dyDescent="0.25">
      <c r="A120" s="336"/>
      <c r="B120" s="336"/>
      <c r="C120" s="403"/>
      <c r="D120" s="408"/>
    </row>
    <row r="121" spans="1:4" x14ac:dyDescent="0.25">
      <c r="A121" s="336"/>
      <c r="B121" s="336"/>
      <c r="C121" s="403"/>
      <c r="D121" s="408"/>
    </row>
    <row r="122" spans="1:4" x14ac:dyDescent="0.25">
      <c r="A122" s="336"/>
      <c r="B122" s="336"/>
      <c r="C122" s="403"/>
      <c r="D122" s="408"/>
    </row>
    <row r="123" spans="1:4" ht="15.75" thickBot="1" x14ac:dyDescent="0.3">
      <c r="A123" s="317"/>
      <c r="B123" s="317"/>
      <c r="C123" s="404"/>
      <c r="D123" s="409"/>
    </row>
    <row r="124" spans="1:4" x14ac:dyDescent="0.25">
      <c r="A124" s="335"/>
      <c r="B124" s="335"/>
      <c r="C124" s="403" t="s">
        <v>862</v>
      </c>
      <c r="D124" s="408" t="s">
        <v>863</v>
      </c>
    </row>
    <row r="125" spans="1:4" x14ac:dyDescent="0.25">
      <c r="A125" s="335"/>
      <c r="B125" s="335"/>
      <c r="C125" s="403"/>
      <c r="D125" s="408"/>
    </row>
    <row r="126" spans="1:4" x14ac:dyDescent="0.25">
      <c r="A126" s="335"/>
      <c r="B126" s="335"/>
      <c r="C126" s="403"/>
      <c r="D126" s="408"/>
    </row>
    <row r="127" spans="1:4" x14ac:dyDescent="0.25">
      <c r="A127" s="335"/>
      <c r="B127" s="335"/>
      <c r="C127" s="403"/>
      <c r="D127" s="408"/>
    </row>
    <row r="128" spans="1:4" x14ac:dyDescent="0.25">
      <c r="A128" s="335"/>
      <c r="B128" s="335"/>
      <c r="C128" s="403"/>
      <c r="D128" s="408"/>
    </row>
    <row r="129" spans="1:4" ht="15.75" thickBot="1" x14ac:dyDescent="0.3">
      <c r="A129" s="318"/>
      <c r="B129" s="318"/>
      <c r="C129" s="404"/>
      <c r="D129" s="409"/>
    </row>
    <row r="130" spans="1:4" ht="14.45" customHeight="1" x14ac:dyDescent="0.25">
      <c r="A130" s="33"/>
      <c r="B130" s="33"/>
      <c r="C130" s="403" t="s">
        <v>864</v>
      </c>
      <c r="D130" s="408" t="s">
        <v>865</v>
      </c>
    </row>
    <row r="131" spans="1:4" x14ac:dyDescent="0.25">
      <c r="A131" s="33"/>
      <c r="B131" s="33"/>
      <c r="C131" s="403"/>
      <c r="D131" s="408"/>
    </row>
    <row r="132" spans="1:4" x14ac:dyDescent="0.25">
      <c r="A132" s="33"/>
      <c r="B132" s="33"/>
      <c r="C132" s="403"/>
      <c r="D132" s="408"/>
    </row>
    <row r="133" spans="1:4" ht="15.75" thickBot="1" x14ac:dyDescent="0.3">
      <c r="A133" s="323"/>
      <c r="B133" s="323"/>
      <c r="C133" s="404"/>
      <c r="D133" s="409"/>
    </row>
    <row r="134" spans="1:4" x14ac:dyDescent="0.25">
      <c r="A134" s="339"/>
      <c r="B134" s="339"/>
      <c r="C134" s="403" t="s">
        <v>866</v>
      </c>
      <c r="D134" s="408" t="s">
        <v>867</v>
      </c>
    </row>
    <row r="135" spans="1:4" x14ac:dyDescent="0.25">
      <c r="A135" s="339"/>
      <c r="B135" s="339"/>
      <c r="C135" s="403"/>
      <c r="D135" s="408"/>
    </row>
    <row r="136" spans="1:4" x14ac:dyDescent="0.25">
      <c r="A136" s="339"/>
      <c r="B136" s="339"/>
      <c r="C136" s="403"/>
      <c r="D136" s="408"/>
    </row>
    <row r="137" spans="1:4" x14ac:dyDescent="0.25">
      <c r="A137" s="339"/>
      <c r="B137" s="339"/>
      <c r="C137" s="403"/>
      <c r="D137" s="408"/>
    </row>
    <row r="138" spans="1:4" x14ac:dyDescent="0.25">
      <c r="A138" s="339"/>
      <c r="B138" s="339"/>
      <c r="C138" s="403"/>
      <c r="D138" s="408"/>
    </row>
    <row r="139" spans="1:4" x14ac:dyDescent="0.25">
      <c r="A139" s="339"/>
      <c r="B139" s="339"/>
      <c r="C139" s="403"/>
      <c r="D139" s="408"/>
    </row>
    <row r="140" spans="1:4" x14ac:dyDescent="0.25">
      <c r="A140" s="339"/>
      <c r="B140" s="339"/>
      <c r="C140" s="403"/>
      <c r="D140" s="408"/>
    </row>
    <row r="141" spans="1:4" x14ac:dyDescent="0.25">
      <c r="A141" s="339"/>
      <c r="B141" s="339"/>
      <c r="C141" s="403"/>
      <c r="D141" s="408"/>
    </row>
    <row r="142" spans="1:4" x14ac:dyDescent="0.25">
      <c r="A142" s="339"/>
      <c r="B142" s="339"/>
      <c r="C142" s="403"/>
      <c r="D142" s="408"/>
    </row>
    <row r="143" spans="1:4" x14ac:dyDescent="0.25">
      <c r="A143" s="339"/>
      <c r="B143" s="339"/>
      <c r="C143" s="403"/>
      <c r="D143" s="408"/>
    </row>
    <row r="144" spans="1:4" x14ac:dyDescent="0.25">
      <c r="A144" s="339"/>
      <c r="B144" s="339"/>
      <c r="C144" s="403"/>
      <c r="D144" s="408"/>
    </row>
    <row r="145" spans="1:4" x14ac:dyDescent="0.25">
      <c r="A145" s="339"/>
      <c r="B145" s="339"/>
      <c r="C145" s="403"/>
      <c r="D145" s="408"/>
    </row>
    <row r="146" spans="1:4" x14ac:dyDescent="0.25">
      <c r="A146" s="339"/>
      <c r="B146" s="339"/>
      <c r="C146" s="403"/>
      <c r="D146" s="408"/>
    </row>
    <row r="147" spans="1:4" x14ac:dyDescent="0.25">
      <c r="A147" s="339"/>
      <c r="B147" s="339"/>
      <c r="C147" s="403"/>
      <c r="D147" s="408"/>
    </row>
    <row r="148" spans="1:4" x14ac:dyDescent="0.25">
      <c r="A148" s="339"/>
      <c r="B148" s="339"/>
      <c r="C148" s="403"/>
      <c r="D148" s="408"/>
    </row>
    <row r="149" spans="1:4" x14ac:dyDescent="0.25">
      <c r="A149" s="339"/>
      <c r="B149" s="339"/>
      <c r="C149" s="403"/>
      <c r="D149" s="408"/>
    </row>
    <row r="150" spans="1:4" ht="15" customHeight="1" x14ac:dyDescent="0.25">
      <c r="A150" s="339"/>
      <c r="B150" s="339"/>
      <c r="C150" s="403"/>
      <c r="D150" s="408"/>
    </row>
    <row r="151" spans="1:4" ht="15" customHeight="1" thickBot="1" x14ac:dyDescent="0.3">
      <c r="A151" s="320"/>
      <c r="B151" s="320"/>
      <c r="C151" s="404"/>
      <c r="D151" s="409"/>
    </row>
    <row r="152" spans="1:4" ht="15" customHeight="1" x14ac:dyDescent="0.25">
      <c r="A152" s="341"/>
      <c r="B152" s="341"/>
      <c r="C152" s="403" t="s">
        <v>868</v>
      </c>
      <c r="D152" s="408" t="s">
        <v>869</v>
      </c>
    </row>
    <row r="153" spans="1:4" ht="15" customHeight="1" x14ac:dyDescent="0.25">
      <c r="A153" s="341"/>
      <c r="B153" s="341"/>
      <c r="C153" s="403"/>
      <c r="D153" s="408"/>
    </row>
    <row r="154" spans="1:4" ht="15" customHeight="1" x14ac:dyDescent="0.25">
      <c r="A154" s="341"/>
      <c r="B154" s="341"/>
      <c r="C154" s="403"/>
      <c r="D154" s="408"/>
    </row>
    <row r="155" spans="1:4" ht="15" customHeight="1" thickBot="1" x14ac:dyDescent="0.3">
      <c r="A155" s="324"/>
      <c r="B155" s="324"/>
      <c r="C155" s="404"/>
      <c r="D155" s="409"/>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30" t="s">
        <v>89</v>
      </c>
      <c r="B1" s="315" t="s">
        <v>92</v>
      </c>
      <c r="C1" s="343" t="s">
        <v>480</v>
      </c>
      <c r="D1" s="344" t="s">
        <v>0</v>
      </c>
    </row>
    <row r="2" spans="1:4" ht="15.75" thickBot="1" x14ac:dyDescent="0.3">
      <c r="A2" s="128">
        <v>4001</v>
      </c>
      <c r="B2" s="205" t="str">
        <f>'Custom cases'!D3</f>
        <v>Custom_RfG_MaxFacilityCurrent</v>
      </c>
      <c r="C2" s="142" t="s">
        <v>508</v>
      </c>
      <c r="D2" s="190" t="s">
        <v>536</v>
      </c>
    </row>
    <row r="3" spans="1:4" x14ac:dyDescent="0.25">
      <c r="A3" s="217">
        <v>4002</v>
      </c>
      <c r="B3" s="218" t="str">
        <f>'Custom cases'!D4</f>
        <v>Custom_RfG_Fault_3_FRTtrig_0.87pu</v>
      </c>
      <c r="C3" s="402" t="s">
        <v>510</v>
      </c>
      <c r="D3" s="203" t="s">
        <v>10</v>
      </c>
    </row>
    <row r="4" spans="1:4" x14ac:dyDescent="0.25">
      <c r="A4" s="217">
        <v>4003</v>
      </c>
      <c r="B4" s="218" t="str">
        <f>'Custom cases'!D5</f>
        <v>Custom_RfG_Fault_3_FRTtrig_0.86pu</v>
      </c>
      <c r="C4" s="403"/>
      <c r="D4" s="203" t="s">
        <v>10</v>
      </c>
    </row>
    <row r="5" spans="1:4" ht="45" x14ac:dyDescent="0.25">
      <c r="A5" s="217">
        <v>4004</v>
      </c>
      <c r="B5" s="218" t="str">
        <f>'Custom cases'!D6</f>
        <v>Custom_RfG_Fault_3_FRTtrig_0.85pu</v>
      </c>
      <c r="C5" s="403"/>
      <c r="D5" s="139" t="s">
        <v>512</v>
      </c>
    </row>
    <row r="6" spans="1:4" x14ac:dyDescent="0.25">
      <c r="A6" s="217">
        <v>4005</v>
      </c>
      <c r="B6" s="218" t="str">
        <f>'Custom cases'!D7</f>
        <v>Custom_RfG_Fault_3_FRTtrig_0.84pu</v>
      </c>
      <c r="C6" s="403"/>
      <c r="D6" s="203" t="s">
        <v>10</v>
      </c>
    </row>
    <row r="7" spans="1:4" x14ac:dyDescent="0.25">
      <c r="A7" s="217">
        <v>4006</v>
      </c>
      <c r="B7" s="218" t="str">
        <f>'Custom cases'!D8</f>
        <v>Custom_RfG_Fault_3_FRTtrig_0.83pu</v>
      </c>
      <c r="C7" s="403"/>
      <c r="D7" s="203" t="s">
        <v>10</v>
      </c>
    </row>
    <row r="8" spans="1:4" x14ac:dyDescent="0.25">
      <c r="A8" s="217">
        <v>4007</v>
      </c>
      <c r="B8" s="218" t="str">
        <f>'Custom cases'!D9</f>
        <v>Custom_RfG_Fault_3_FRTtrig_0.82pu</v>
      </c>
      <c r="C8" s="403"/>
      <c r="D8" s="203" t="s">
        <v>10</v>
      </c>
    </row>
    <row r="9" spans="1:4" x14ac:dyDescent="0.25">
      <c r="A9" s="217">
        <v>4008</v>
      </c>
      <c r="B9" s="218" t="str">
        <f>'Custom cases'!D10</f>
        <v>Custom_RfG_Fault_3_FRTtrig_0.81pu</v>
      </c>
      <c r="C9" s="403"/>
      <c r="D9" s="203" t="s">
        <v>10</v>
      </c>
    </row>
    <row r="10" spans="1:4" x14ac:dyDescent="0.25">
      <c r="A10" s="217">
        <v>4009</v>
      </c>
      <c r="B10" s="218" t="str">
        <f>'Custom cases'!D11</f>
        <v>Custom_RfG_Fault_3_FRTtrig_0.80pu</v>
      </c>
      <c r="C10" s="403"/>
      <c r="D10" s="203" t="s">
        <v>10</v>
      </c>
    </row>
    <row r="11" spans="1:4" x14ac:dyDescent="0.25">
      <c r="A11" s="217">
        <v>4010</v>
      </c>
      <c r="B11" s="218" t="str">
        <f>'Custom cases'!D12</f>
        <v>Custom_RfG_Fault_3_FRTtrig_0.79pu</v>
      </c>
      <c r="C11" s="403"/>
      <c r="D11" s="203" t="s">
        <v>10</v>
      </c>
    </row>
    <row r="12" spans="1:4" ht="15.75" thickBot="1" x14ac:dyDescent="0.3">
      <c r="A12" s="219">
        <v>4011</v>
      </c>
      <c r="B12" s="220" t="str">
        <f>'Custom cases'!D13</f>
        <v>Custom_RfG_Fault_3_FRTtrig_0.78pu</v>
      </c>
      <c r="C12" s="404"/>
      <c r="D12" s="204" t="s">
        <v>10</v>
      </c>
    </row>
    <row r="13" spans="1:4" x14ac:dyDescent="0.25">
      <c r="A13" s="193">
        <v>4012</v>
      </c>
      <c r="B13" s="209" t="str">
        <f>'Custom cases'!D14</f>
        <v>Custom_RfG_LVRT_FRTexit_0.84pu</v>
      </c>
      <c r="C13" s="402" t="s">
        <v>509</v>
      </c>
      <c r="D13" s="203" t="s">
        <v>10</v>
      </c>
    </row>
    <row r="14" spans="1:4" ht="30" x14ac:dyDescent="0.25">
      <c r="A14" s="193">
        <v>4013</v>
      </c>
      <c r="B14" s="209" t="str">
        <f>'Custom cases'!D15</f>
        <v>Custom_RfG_LVRT_FRTexit_0.85pu</v>
      </c>
      <c r="C14" s="403"/>
      <c r="D14" s="139" t="s">
        <v>511</v>
      </c>
    </row>
    <row r="15" spans="1:4" x14ac:dyDescent="0.25">
      <c r="A15" s="193">
        <v>4014</v>
      </c>
      <c r="B15" s="209" t="str">
        <f>'Custom cases'!D16</f>
        <v>Custom_RfG_LVRT_FRTexit_0.86pu</v>
      </c>
      <c r="C15" s="403"/>
      <c r="D15" s="203" t="s">
        <v>10</v>
      </c>
    </row>
    <row r="16" spans="1:4" x14ac:dyDescent="0.25">
      <c r="A16" s="193">
        <v>4015</v>
      </c>
      <c r="B16" s="209" t="str">
        <f>'Custom cases'!D17</f>
        <v>Custom_RfG_LVRT_FRTexit_0.87pu</v>
      </c>
      <c r="C16" s="403"/>
      <c r="D16" s="203" t="s">
        <v>10</v>
      </c>
    </row>
    <row r="17" spans="1:4" x14ac:dyDescent="0.25">
      <c r="A17" s="193">
        <v>4016</v>
      </c>
      <c r="B17" s="209" t="str">
        <f>'Custom cases'!D18</f>
        <v>Custom_RfG_LVRT_FRTexit_0.88pu</v>
      </c>
      <c r="C17" s="403"/>
      <c r="D17" s="203" t="s">
        <v>10</v>
      </c>
    </row>
    <row r="18" spans="1:4" ht="15.75" thickBot="1" x14ac:dyDescent="0.3">
      <c r="A18" s="202">
        <v>4017</v>
      </c>
      <c r="B18" s="210" t="str">
        <f>'Custom cases'!D19</f>
        <v>Custom_RfG_LVRT_FRTexit_0.89pu</v>
      </c>
      <c r="C18" s="404"/>
      <c r="D18" s="204" t="s">
        <v>10</v>
      </c>
    </row>
    <row r="19" spans="1:4" x14ac:dyDescent="0.25">
      <c r="A19" s="211">
        <v>4018</v>
      </c>
      <c r="B19" s="212" t="str">
        <f>'Custom cases'!D20</f>
        <v>Custom_RfG_Fault_3_MaxIQ_0.24pu</v>
      </c>
      <c r="C19" s="402" t="s">
        <v>538</v>
      </c>
      <c r="D19" s="203" t="s">
        <v>10</v>
      </c>
    </row>
    <row r="20" spans="1:4" x14ac:dyDescent="0.25">
      <c r="A20" s="211">
        <v>4019</v>
      </c>
      <c r="B20" s="212" t="str">
        <f>'Custom cases'!D21</f>
        <v>Custom_RfG_Fault_3_MaxIQ_0.23pu</v>
      </c>
      <c r="C20" s="403"/>
      <c r="D20" s="203" t="s">
        <v>10</v>
      </c>
    </row>
    <row r="21" spans="1:4" x14ac:dyDescent="0.25">
      <c r="A21" s="211">
        <v>4020</v>
      </c>
      <c r="B21" s="212" t="str">
        <f>'Custom cases'!D22</f>
        <v>Custom_RfG_Fault_3_MaxIQ_0.22pu</v>
      </c>
      <c r="C21" s="403"/>
      <c r="D21" s="203" t="s">
        <v>10</v>
      </c>
    </row>
    <row r="22" spans="1:4" x14ac:dyDescent="0.25">
      <c r="A22" s="211">
        <v>4021</v>
      </c>
      <c r="B22" s="212" t="str">
        <f>'Custom cases'!D23</f>
        <v>Custom_RfG_Fault_3_MaxIQ_0.21pu</v>
      </c>
      <c r="C22" s="403"/>
      <c r="D22" s="203" t="s">
        <v>10</v>
      </c>
    </row>
    <row r="23" spans="1:4" ht="75" x14ac:dyDescent="0.25">
      <c r="A23" s="211">
        <v>4022</v>
      </c>
      <c r="B23" s="212" t="str">
        <f>'Custom cases'!D24</f>
        <v>Custom_RfG_Fault_3_MaxIQ_0.20pu</v>
      </c>
      <c r="C23" s="403"/>
      <c r="D23" s="139" t="s">
        <v>539</v>
      </c>
    </row>
    <row r="24" spans="1:4" x14ac:dyDescent="0.25">
      <c r="A24" s="211">
        <v>4023</v>
      </c>
      <c r="B24" s="212" t="str">
        <f>'Custom cases'!D25</f>
        <v>Custom_RfG_Fault_3_MaxIQ_0.19pu</v>
      </c>
      <c r="C24" s="403"/>
      <c r="D24" s="203" t="s">
        <v>10</v>
      </c>
    </row>
    <row r="25" spans="1:4" x14ac:dyDescent="0.25">
      <c r="A25" s="211">
        <v>4024</v>
      </c>
      <c r="B25" s="212" t="str">
        <f>'Custom cases'!D26</f>
        <v>Custom_RfG_Fault_3_MaxIQ_0.18pu</v>
      </c>
      <c r="C25" s="403"/>
      <c r="D25" s="203" t="s">
        <v>10</v>
      </c>
    </row>
    <row r="26" spans="1:4" x14ac:dyDescent="0.25">
      <c r="A26" s="211">
        <v>4025</v>
      </c>
      <c r="B26" s="212" t="str">
        <f>'Custom cases'!D27</f>
        <v>Custom_RfG_Fault_3_MaxIQ_0.17pu</v>
      </c>
      <c r="C26" s="403"/>
      <c r="D26" s="203" t="s">
        <v>10</v>
      </c>
    </row>
    <row r="27" spans="1:4" x14ac:dyDescent="0.25">
      <c r="A27" s="211">
        <v>4026</v>
      </c>
      <c r="B27" s="212" t="str">
        <f>'Custom cases'!D28</f>
        <v>Custom_RfG_Fault_3_MaxIQ_0.16pu</v>
      </c>
      <c r="C27" s="403"/>
      <c r="D27" s="203" t="s">
        <v>10</v>
      </c>
    </row>
    <row r="28" spans="1:4" ht="15.75" thickBot="1" x14ac:dyDescent="0.3">
      <c r="A28" s="213">
        <v>4027</v>
      </c>
      <c r="B28" s="214" t="str">
        <f>'Custom cases'!D29</f>
        <v>Custom_RfG_Fault_3_MaxIQ_0.15pu</v>
      </c>
      <c r="C28" s="404"/>
      <c r="D28" s="204" t="s">
        <v>10</v>
      </c>
    </row>
    <row r="29" spans="1:4" ht="30" x14ac:dyDescent="0.25">
      <c r="A29" s="193">
        <v>4028</v>
      </c>
      <c r="B29" s="209" t="str">
        <f>'Custom cases'!D30</f>
        <v>Custom_RfG_Fault_3_0.2pu_Plim_0.5pu</v>
      </c>
      <c r="C29" s="402" t="s">
        <v>513</v>
      </c>
      <c r="D29" s="139" t="s">
        <v>537</v>
      </c>
    </row>
    <row r="30" spans="1:4" x14ac:dyDescent="0.25">
      <c r="A30" s="193">
        <v>4029</v>
      </c>
      <c r="B30" s="209" t="str">
        <f>'Custom cases'!D31</f>
        <v>Custom_RfG_Fault_2_0.2pu_Plim_0.5pu</v>
      </c>
      <c r="C30" s="403"/>
      <c r="D30" s="203" t="s">
        <v>10</v>
      </c>
    </row>
    <row r="31" spans="1:4" x14ac:dyDescent="0.25">
      <c r="A31" s="193">
        <v>4030</v>
      </c>
      <c r="B31" s="209" t="str">
        <f>'Custom cases'!D32</f>
        <v>Custom_RfG_Fault_1_0.2pu_Plim_0.5pu</v>
      </c>
      <c r="C31" s="403"/>
      <c r="D31" s="203" t="s">
        <v>10</v>
      </c>
    </row>
    <row r="32" spans="1:4" ht="30" x14ac:dyDescent="0.25">
      <c r="A32" s="193">
        <v>4031</v>
      </c>
      <c r="B32" s="209" t="str">
        <f>'Custom cases'!D33</f>
        <v>Custom_RfG_Fault_3_0.2pu_Plim_0.15pu</v>
      </c>
      <c r="C32" s="403"/>
      <c r="D32" s="139" t="s">
        <v>514</v>
      </c>
    </row>
    <row r="33" spans="1:4" x14ac:dyDescent="0.25">
      <c r="A33" s="193">
        <v>4032</v>
      </c>
      <c r="B33" s="209" t="str">
        <f>'Custom cases'!D34</f>
        <v>Custom_RfG_Fault_2_0.2pu_Plim_0.15pu</v>
      </c>
      <c r="C33" s="403"/>
      <c r="D33" s="203" t="s">
        <v>10</v>
      </c>
    </row>
    <row r="34" spans="1:4" ht="15.75" thickBot="1" x14ac:dyDescent="0.3">
      <c r="A34" s="202">
        <v>4033</v>
      </c>
      <c r="B34" s="210" t="str">
        <f>'Custom cases'!D35</f>
        <v>Custom_RfG_Fault_1_0.2pu_Plim_0.15pu</v>
      </c>
      <c r="C34" s="404"/>
      <c r="D34" s="204" t="s">
        <v>10</v>
      </c>
    </row>
    <row r="35" spans="1:4" x14ac:dyDescent="0.25">
      <c r="A35" s="138">
        <v>4034</v>
      </c>
      <c r="B35" s="215" t="str">
        <f>'Custom cases'!D36</f>
        <v>Custom_RfG_Ucontrol_Plim_1.00pu</v>
      </c>
      <c r="C35" s="402" t="s">
        <v>518</v>
      </c>
      <c r="D35" s="139" t="s">
        <v>516</v>
      </c>
    </row>
    <row r="36" spans="1:4" x14ac:dyDescent="0.25">
      <c r="A36" s="138">
        <v>4035</v>
      </c>
      <c r="B36" s="215" t="str">
        <f>'Custom cases'!D37</f>
        <v>Custom_RfG_Ucontrol_Plim_0.50pu</v>
      </c>
      <c r="C36" s="403"/>
      <c r="D36" s="139" t="s">
        <v>515</v>
      </c>
    </row>
    <row r="37" spans="1:4" ht="15.75" thickBot="1" x14ac:dyDescent="0.3">
      <c r="A37" s="178">
        <v>4036</v>
      </c>
      <c r="B37" s="216" t="str">
        <f>'Custom cases'!D38</f>
        <v>Custom_RfG_Ucontrol_Plim_0.15pu</v>
      </c>
      <c r="C37" s="404"/>
      <c r="D37" s="143" t="s">
        <v>517</v>
      </c>
    </row>
    <row r="38" spans="1:4" ht="15" customHeight="1" x14ac:dyDescent="0.25">
      <c r="A38" s="230">
        <v>4037</v>
      </c>
      <c r="B38" s="231" t="str">
        <f>'Custom cases'!D39</f>
        <v>Custom_Fault_3_0.20pu_U0_1.118pu</v>
      </c>
      <c r="C38" s="402" t="s">
        <v>528</v>
      </c>
      <c r="D38" s="146" t="s">
        <v>519</v>
      </c>
    </row>
    <row r="39" spans="1:4" x14ac:dyDescent="0.25">
      <c r="A39" s="232">
        <v>4038</v>
      </c>
      <c r="B39" s="233" t="str">
        <f>'Custom cases'!D40</f>
        <v>Custom_Fault_2_0.20pu_U0_1.118pu</v>
      </c>
      <c r="C39" s="403"/>
      <c r="D39" s="203" t="s">
        <v>10</v>
      </c>
    </row>
    <row r="40" spans="1:4" x14ac:dyDescent="0.25">
      <c r="A40" s="232">
        <v>4039</v>
      </c>
      <c r="B40" s="233" t="str">
        <f>'Custom cases'!D41</f>
        <v>Custom_Fault_1_0.20pu_U0_1.118pu</v>
      </c>
      <c r="C40" s="403"/>
      <c r="D40" s="203" t="s">
        <v>10</v>
      </c>
    </row>
    <row r="41" spans="1:4" ht="30" x14ac:dyDescent="0.25">
      <c r="A41" s="232">
        <v>4040</v>
      </c>
      <c r="B41" s="233" t="str">
        <f>'Custom cases'!D42</f>
        <v>Custom_Fault_3_0.20pu_U0_0.968pu</v>
      </c>
      <c r="C41" s="403"/>
      <c r="D41" s="139" t="s">
        <v>520</v>
      </c>
    </row>
    <row r="42" spans="1:4" x14ac:dyDescent="0.25">
      <c r="A42" s="232">
        <v>4041</v>
      </c>
      <c r="B42" s="233" t="str">
        <f>'Custom cases'!D43</f>
        <v>Custom_Fault_2_0.20pu_U0_0.968pu</v>
      </c>
      <c r="C42" s="403"/>
      <c r="D42" s="203" t="s">
        <v>10</v>
      </c>
    </row>
    <row r="43" spans="1:4" ht="15.75" thickBot="1" x14ac:dyDescent="0.3">
      <c r="A43" s="234">
        <v>4042</v>
      </c>
      <c r="B43" s="235" t="str">
        <f>'Custom cases'!D44</f>
        <v>Custom_Fault_1_0.20pu_U0_0.968pu</v>
      </c>
      <c r="C43" s="404"/>
      <c r="D43" s="204" t="s">
        <v>10</v>
      </c>
    </row>
    <row r="44" spans="1:4" ht="30" x14ac:dyDescent="0.25">
      <c r="A44" s="132">
        <v>4043</v>
      </c>
      <c r="B44" s="229" t="str">
        <f>'Custom cases'!D45</f>
        <v>Custom_Fault_3_U0_1.118_Uend_1.065</v>
      </c>
      <c r="C44" s="402" t="s">
        <v>529</v>
      </c>
      <c r="D44" s="146" t="s">
        <v>522</v>
      </c>
    </row>
    <row r="45" spans="1:4" x14ac:dyDescent="0.25">
      <c r="A45" s="133">
        <v>4044</v>
      </c>
      <c r="B45" s="206" t="str">
        <f>'Custom cases'!D46</f>
        <v>Custom_Fault_2_U0_1.118_Uend_1.065</v>
      </c>
      <c r="C45" s="403"/>
      <c r="D45" s="203" t="s">
        <v>10</v>
      </c>
    </row>
    <row r="46" spans="1:4" x14ac:dyDescent="0.25">
      <c r="A46" s="133">
        <v>4045</v>
      </c>
      <c r="B46" s="206" t="str">
        <f>'Custom cases'!D47</f>
        <v>Custom_Fault_1_U0_1.118_Uend_1.065</v>
      </c>
      <c r="C46" s="403"/>
      <c r="D46" s="203" t="s">
        <v>10</v>
      </c>
    </row>
    <row r="47" spans="1:4" x14ac:dyDescent="0.25">
      <c r="A47" s="133">
        <v>4046</v>
      </c>
      <c r="B47" s="206" t="str">
        <f>'Custom cases'!D48</f>
        <v>Custom_Fault_3_U0_1.118_Uend_0.968</v>
      </c>
      <c r="C47" s="403"/>
      <c r="D47" s="203" t="s">
        <v>10</v>
      </c>
    </row>
    <row r="48" spans="1:4" ht="30" x14ac:dyDescent="0.25">
      <c r="A48" s="133">
        <v>4047</v>
      </c>
      <c r="B48" s="206" t="str">
        <f>'Custom cases'!D49</f>
        <v>Custom_Fault_3_U0_0.959_Uend_1.065</v>
      </c>
      <c r="C48" s="403"/>
      <c r="D48" s="139" t="s">
        <v>521</v>
      </c>
    </row>
    <row r="49" spans="1:4" x14ac:dyDescent="0.25">
      <c r="A49" s="133">
        <v>4048</v>
      </c>
      <c r="B49" s="206" t="str">
        <f>'Custom cases'!D50</f>
        <v>Custom_Fault_2_U0_0.959_Uend_1.065</v>
      </c>
      <c r="C49" s="403"/>
      <c r="D49" s="203" t="s">
        <v>10</v>
      </c>
    </row>
    <row r="50" spans="1:4" x14ac:dyDescent="0.25">
      <c r="A50" s="133">
        <v>4049</v>
      </c>
      <c r="B50" s="206" t="str">
        <f>'Custom cases'!D51</f>
        <v>Custom_Fault_1_U0_0.959_Uend_1.065</v>
      </c>
      <c r="C50" s="403"/>
      <c r="D50" s="203" t="s">
        <v>10</v>
      </c>
    </row>
    <row r="51" spans="1:4" x14ac:dyDescent="0.25">
      <c r="A51" s="133">
        <v>4050</v>
      </c>
      <c r="B51" s="206" t="str">
        <f>'Custom cases'!D52</f>
        <v>Custom_Fault_3_U0_0.959_Uend_1.118</v>
      </c>
      <c r="C51" s="403"/>
      <c r="D51" s="203" t="s">
        <v>10</v>
      </c>
    </row>
    <row r="52" spans="1:4" ht="30" x14ac:dyDescent="0.25">
      <c r="A52" s="133">
        <v>4051</v>
      </c>
      <c r="B52" s="206" t="str">
        <f>'Custom cases'!D53</f>
        <v>Custom_Fault_3_U0_1.118_Uend_0.900</v>
      </c>
      <c r="C52" s="403"/>
      <c r="D52" s="139" t="s">
        <v>523</v>
      </c>
    </row>
    <row r="53" spans="1:4" x14ac:dyDescent="0.25">
      <c r="A53" s="133">
        <v>4052</v>
      </c>
      <c r="B53" s="206" t="str">
        <f>'Custom cases'!D54</f>
        <v>Custom_Fault_3_U0_1.065_Uend_0.900</v>
      </c>
      <c r="C53" s="403"/>
      <c r="D53" s="203" t="s">
        <v>10</v>
      </c>
    </row>
    <row r="54" spans="1:4" ht="15.75" thickBot="1" x14ac:dyDescent="0.3">
      <c r="A54" s="207">
        <v>4053</v>
      </c>
      <c r="B54" s="208" t="str">
        <f>'Custom cases'!D55</f>
        <v>Custom_Fault_3_U0_0.959_Uend_0.900</v>
      </c>
      <c r="C54" s="404"/>
      <c r="D54" s="204" t="s">
        <v>10</v>
      </c>
    </row>
    <row r="55" spans="1:4" ht="15.6" customHeight="1" x14ac:dyDescent="0.25">
      <c r="A55" s="223">
        <v>4054</v>
      </c>
      <c r="B55" s="224" t="str">
        <f>'Custom cases'!D56</f>
        <v>Custom_Fault_3_U0_1.065pu_OVRT_1.15</v>
      </c>
      <c r="C55" s="402" t="s">
        <v>530</v>
      </c>
      <c r="D55" s="146" t="s">
        <v>525</v>
      </c>
    </row>
    <row r="56" spans="1:4" ht="15.6" customHeight="1" x14ac:dyDescent="0.25">
      <c r="A56" s="225">
        <v>4055</v>
      </c>
      <c r="B56" s="226" t="str">
        <f>'Custom cases'!D57</f>
        <v>Custom_Fault_3_U0_1.065pu_OVRT_1.20</v>
      </c>
      <c r="C56" s="403"/>
      <c r="D56" s="139" t="s">
        <v>525</v>
      </c>
    </row>
    <row r="57" spans="1:4" ht="30" x14ac:dyDescent="0.25">
      <c r="A57" s="225">
        <v>4056</v>
      </c>
      <c r="B57" s="226" t="str">
        <f>'Custom cases'!D58</f>
        <v>Custom_Fault_3_U0_1.065pu_OVRT_1.30</v>
      </c>
      <c r="C57" s="403"/>
      <c r="D57" s="139" t="s">
        <v>524</v>
      </c>
    </row>
    <row r="58" spans="1:4" x14ac:dyDescent="0.25">
      <c r="A58" s="225">
        <v>4057</v>
      </c>
      <c r="B58" s="226" t="str">
        <f>'Custom cases'!D59</f>
        <v>Custom_Fault_3_U0_1.065pu_OVRT_1.15</v>
      </c>
      <c r="C58" s="403"/>
      <c r="D58" s="139" t="s">
        <v>526</v>
      </c>
    </row>
    <row r="59" spans="1:4" x14ac:dyDescent="0.25">
      <c r="A59" s="225">
        <v>4058</v>
      </c>
      <c r="B59" s="226" t="str">
        <f>'Custom cases'!D60</f>
        <v>Custom_Fault_3_U0_1.065pu_OVRT_1.20</v>
      </c>
      <c r="C59" s="403"/>
      <c r="D59" s="139" t="s">
        <v>526</v>
      </c>
    </row>
    <row r="60" spans="1:4" ht="30.75" thickBot="1" x14ac:dyDescent="0.3">
      <c r="A60" s="227">
        <v>4059</v>
      </c>
      <c r="B60" s="228" t="str">
        <f>'Custom cases'!D61</f>
        <v>Custom_Fault_3_U0_1.065pu_OVRT_1.30</v>
      </c>
      <c r="C60" s="404"/>
      <c r="D60" s="143" t="s">
        <v>527</v>
      </c>
    </row>
    <row r="61" spans="1:4" x14ac:dyDescent="0.25">
      <c r="A61" s="221">
        <v>4060</v>
      </c>
      <c r="B61" s="222" t="str">
        <f>'Custom cases'!D62</f>
        <v>Custom_Fault_3_0.20pu_SCR_2</v>
      </c>
      <c r="C61" s="402" t="s">
        <v>531</v>
      </c>
      <c r="D61" s="146" t="s">
        <v>532</v>
      </c>
    </row>
    <row r="62" spans="1:4" x14ac:dyDescent="0.25">
      <c r="A62" s="217">
        <v>4061</v>
      </c>
      <c r="B62" s="218" t="str">
        <f>'Custom cases'!D63</f>
        <v>Custom_Fault_3_0.20pu_SCR_3</v>
      </c>
      <c r="C62" s="403"/>
      <c r="D62" s="203" t="s">
        <v>10</v>
      </c>
    </row>
    <row r="63" spans="1:4" x14ac:dyDescent="0.25">
      <c r="A63" s="217">
        <v>4062</v>
      </c>
      <c r="B63" s="218" t="str">
        <f>'Custom cases'!D64</f>
        <v>Custom_Fault_3_0.20pu_SCR_4</v>
      </c>
      <c r="C63" s="403"/>
      <c r="D63" s="203" t="s">
        <v>10</v>
      </c>
    </row>
    <row r="64" spans="1:4" x14ac:dyDescent="0.25">
      <c r="A64" s="217">
        <v>4063</v>
      </c>
      <c r="B64" s="218" t="str">
        <f>'Custom cases'!D65</f>
        <v>Custom_Fault_3_0.20pu_SCR_5</v>
      </c>
      <c r="C64" s="403"/>
      <c r="D64" s="203" t="s">
        <v>10</v>
      </c>
    </row>
    <row r="65" spans="1:4" x14ac:dyDescent="0.25">
      <c r="A65" s="217">
        <v>4064</v>
      </c>
      <c r="B65" s="218" t="str">
        <f>'Custom cases'!D66</f>
        <v>Custom_Fault_3_0.20pu_SCR_6</v>
      </c>
      <c r="C65" s="403"/>
      <c r="D65" s="203" t="s">
        <v>10</v>
      </c>
    </row>
    <row r="66" spans="1:4" x14ac:dyDescent="0.25">
      <c r="A66" s="217">
        <v>4065</v>
      </c>
      <c r="B66" s="218" t="str">
        <f>'Custom cases'!D67</f>
        <v>Custom_Fault_2_0.20pu_SCR_2</v>
      </c>
      <c r="C66" s="403"/>
      <c r="D66" s="203" t="s">
        <v>10</v>
      </c>
    </row>
    <row r="67" spans="1:4" x14ac:dyDescent="0.25">
      <c r="A67" s="217">
        <v>4066</v>
      </c>
      <c r="B67" s="218" t="str">
        <f>'Custom cases'!D68</f>
        <v>Custom_Fault_2_0.20pu_SCR_3</v>
      </c>
      <c r="C67" s="403"/>
      <c r="D67" s="203" t="s">
        <v>10</v>
      </c>
    </row>
    <row r="68" spans="1:4" x14ac:dyDescent="0.25">
      <c r="A68" s="217">
        <v>4067</v>
      </c>
      <c r="B68" s="218" t="str">
        <f>'Custom cases'!D69</f>
        <v>Custom_Fault_2_0.20pu_SCR_4</v>
      </c>
      <c r="C68" s="403"/>
      <c r="D68" s="203" t="s">
        <v>10</v>
      </c>
    </row>
    <row r="69" spans="1:4" x14ac:dyDescent="0.25">
      <c r="A69" s="217">
        <v>4068</v>
      </c>
      <c r="B69" s="218" t="str">
        <f>'Custom cases'!D70</f>
        <v>Custom_Fault_2_0.20pu_SCR_5</v>
      </c>
      <c r="C69" s="403"/>
      <c r="D69" s="203" t="s">
        <v>10</v>
      </c>
    </row>
    <row r="70" spans="1:4" x14ac:dyDescent="0.25">
      <c r="A70" s="217">
        <v>4069</v>
      </c>
      <c r="B70" s="218" t="str">
        <f>'Custom cases'!D71</f>
        <v>Custom_Fault_2_0.20pu_SCR_6</v>
      </c>
      <c r="C70" s="403"/>
      <c r="D70" s="203" t="s">
        <v>10</v>
      </c>
    </row>
    <row r="71" spans="1:4" x14ac:dyDescent="0.25">
      <c r="A71" s="217">
        <v>4070</v>
      </c>
      <c r="B71" s="218" t="str">
        <f>'Custom cases'!D72</f>
        <v>Custom_Fault_3_0.70pu_SCR_2</v>
      </c>
      <c r="C71" s="403"/>
      <c r="D71" s="203" t="s">
        <v>10</v>
      </c>
    </row>
    <row r="72" spans="1:4" x14ac:dyDescent="0.25">
      <c r="A72" s="217">
        <v>4071</v>
      </c>
      <c r="B72" s="218" t="str">
        <f>'Custom cases'!D73</f>
        <v>Custom_Fault_3_0.70pu_SCR_3</v>
      </c>
      <c r="C72" s="403"/>
      <c r="D72" s="203" t="s">
        <v>10</v>
      </c>
    </row>
    <row r="73" spans="1:4" x14ac:dyDescent="0.25">
      <c r="A73" s="217">
        <v>4072</v>
      </c>
      <c r="B73" s="218" t="str">
        <f>'Custom cases'!D74</f>
        <v>Custom_Fault_3_0.70pu_SCR_4</v>
      </c>
      <c r="C73" s="403"/>
      <c r="D73" s="203" t="s">
        <v>10</v>
      </c>
    </row>
    <row r="74" spans="1:4" x14ac:dyDescent="0.25">
      <c r="A74" s="217">
        <v>4073</v>
      </c>
      <c r="B74" s="218" t="str">
        <f>'Custom cases'!D75</f>
        <v>Custom_Fault_3_0.70pu_SCR_5</v>
      </c>
      <c r="C74" s="403"/>
      <c r="D74" s="203" t="s">
        <v>10</v>
      </c>
    </row>
    <row r="75" spans="1:4" x14ac:dyDescent="0.25">
      <c r="A75" s="217">
        <v>4074</v>
      </c>
      <c r="B75" s="218" t="str">
        <f>'Custom cases'!D76</f>
        <v>Custom_Fault_3_0.70pu_SCR_6</v>
      </c>
      <c r="C75" s="403"/>
      <c r="D75" s="203" t="s">
        <v>10</v>
      </c>
    </row>
    <row r="76" spans="1:4" x14ac:dyDescent="0.25">
      <c r="A76" s="217">
        <v>4075</v>
      </c>
      <c r="B76" s="218" t="str">
        <f>'Custom cases'!D77</f>
        <v>Custom_Fault_2_0.70pu_SCR_2</v>
      </c>
      <c r="C76" s="403"/>
      <c r="D76" s="203" t="s">
        <v>10</v>
      </c>
    </row>
    <row r="77" spans="1:4" x14ac:dyDescent="0.25">
      <c r="A77" s="217">
        <v>4076</v>
      </c>
      <c r="B77" s="218" t="str">
        <f>'Custom cases'!D78</f>
        <v>Custom_Fault_2_0.70pu_SCR_3</v>
      </c>
      <c r="C77" s="403"/>
      <c r="D77" s="203" t="s">
        <v>10</v>
      </c>
    </row>
    <row r="78" spans="1:4" x14ac:dyDescent="0.25">
      <c r="A78" s="217">
        <v>4077</v>
      </c>
      <c r="B78" s="218" t="str">
        <f>'Custom cases'!D79</f>
        <v>Custom_Fault_2_0.70pu_SCR_4</v>
      </c>
      <c r="C78" s="403"/>
      <c r="D78" s="203" t="s">
        <v>10</v>
      </c>
    </row>
    <row r="79" spans="1:4" x14ac:dyDescent="0.25">
      <c r="A79" s="217">
        <v>4078</v>
      </c>
      <c r="B79" s="218" t="str">
        <f>'Custom cases'!D80</f>
        <v>Custom_Fault_2_0.70pu_SCR_5</v>
      </c>
      <c r="C79" s="403"/>
      <c r="D79" s="203" t="s">
        <v>10</v>
      </c>
    </row>
    <row r="80" spans="1:4" ht="15.75" thickBot="1" x14ac:dyDescent="0.3">
      <c r="A80" s="219">
        <v>4079</v>
      </c>
      <c r="B80" s="220" t="str">
        <f>'Custom cases'!D81</f>
        <v>Custom_Fault_2_0.70pu_SCR_6</v>
      </c>
      <c r="C80" s="404"/>
      <c r="D80" s="204" t="s">
        <v>10</v>
      </c>
    </row>
    <row r="81" spans="1:4" x14ac:dyDescent="0.25">
      <c r="A81" s="193">
        <v>4080</v>
      </c>
      <c r="B81" s="209" t="str">
        <f>'Custom cases'!D82</f>
        <v>Custom_Fault_3_0.20pu_Duration_80</v>
      </c>
      <c r="C81" s="402" t="s">
        <v>533</v>
      </c>
      <c r="D81" s="139" t="s">
        <v>534</v>
      </c>
    </row>
    <row r="82" spans="1:4" x14ac:dyDescent="0.25">
      <c r="A82" s="193">
        <v>4081</v>
      </c>
      <c r="B82" s="209" t="str">
        <f>'Custom cases'!D83</f>
        <v>Custom_Fault_3_0.20pu_Duration_60</v>
      </c>
      <c r="C82" s="403"/>
      <c r="D82" s="203" t="s">
        <v>10</v>
      </c>
    </row>
    <row r="83" spans="1:4" x14ac:dyDescent="0.25">
      <c r="A83" s="193">
        <v>4082</v>
      </c>
      <c r="B83" s="209" t="str">
        <f>'Custom cases'!D84</f>
        <v>Custom_Fault_3_0.20pu_Duration_40</v>
      </c>
      <c r="C83" s="403"/>
      <c r="D83" s="203" t="s">
        <v>10</v>
      </c>
    </row>
    <row r="84" spans="1:4" ht="30" x14ac:dyDescent="0.25">
      <c r="A84" s="193">
        <v>4083</v>
      </c>
      <c r="B84" s="209" t="str">
        <f>'Custom cases'!D85</f>
        <v>Custom_Shift_10_Fault_3_0.20pu</v>
      </c>
      <c r="C84" s="403"/>
      <c r="D84" s="139" t="s">
        <v>535</v>
      </c>
    </row>
    <row r="85" spans="1:4" x14ac:dyDescent="0.25">
      <c r="A85" s="193">
        <v>4084</v>
      </c>
      <c r="B85" s="209" t="str">
        <f>'Custom cases'!D86</f>
        <v>Custom_Shift_20_Fault_3_0.20pu</v>
      </c>
      <c r="C85" s="403"/>
      <c r="D85" s="203" t="s">
        <v>10</v>
      </c>
    </row>
    <row r="86" spans="1:4" x14ac:dyDescent="0.25">
      <c r="A86" s="193">
        <v>4085</v>
      </c>
      <c r="B86" s="209" t="str">
        <f>'Custom cases'!D87</f>
        <v>Custom_Shift_30_Fault_3_0.20pu</v>
      </c>
      <c r="C86" s="403"/>
      <c r="D86" s="203" t="s">
        <v>10</v>
      </c>
    </row>
    <row r="87" spans="1:4" x14ac:dyDescent="0.25">
      <c r="A87" s="193">
        <v>4086</v>
      </c>
      <c r="B87" s="209" t="str">
        <f>'Custom cases'!D88</f>
        <v>Custom_Shift_40_Fault_3_0.20pu</v>
      </c>
      <c r="C87" s="403"/>
      <c r="D87" s="203" t="s">
        <v>10</v>
      </c>
    </row>
    <row r="88" spans="1:4" ht="15.75" thickBot="1" x14ac:dyDescent="0.3">
      <c r="A88" s="202">
        <v>4087</v>
      </c>
      <c r="B88" s="210" t="str">
        <f>'Custom cases'!D89</f>
        <v>Custom_Shift_50_Fault_3_0.20pu</v>
      </c>
      <c r="C88" s="404"/>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107</vt:i4>
      </vt:variant>
    </vt:vector>
  </HeadingPairs>
  <TitlesOfParts>
    <vt:vector size="12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2026-05-06T10:50:06Z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