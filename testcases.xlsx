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97" documentId="11_75BCC0E3648942E3F9B3ABC73D174D462146C19F" xr6:coauthVersionLast="47" xr6:coauthVersionMax="47" xr10:uidLastSave="{93899611-9B11-4DE4-9E63-5A6541A28DEB}"/>
  <bookViews>
    <workbookView xWindow="-1761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<sst xmlns="http://schemas.openxmlformats.org/spreadsheetml/2006/main" count="4295" uniqueCount="934">
  <si>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</si>
  <si>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</si>
  <si>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</si>
  <si>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</si>
  <si>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</si>
  <si>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</si>
  <si>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</si>
  <si>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</si>
  <si>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</si>
  <si>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</si>
  <si>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</si>
  <si>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</si>
  <si>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</si>
  <si>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</si>
  <si>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</si>
  <si>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</si>
  <si>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</si>
  <si>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</si>
  <si>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</si>
  <si>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</si>
  <si>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</si>
  <si>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</si>
  <si>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</si>
  <si>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</si>
  <si>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</si>
  <si>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</si>
  <si>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</si>
  <si>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</si>
  <si>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</si>
  <si>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</si>
  <si>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</si>
  <si>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</si>
  <si>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</si>
  <si>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</si>
  <si>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</si>
  <si>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</si>
  <si>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</si>
  <si>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</si>
  <si>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</si>
  <si>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</si>
  <si>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</si>
  <si>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</si>
  <si>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</si>
  <si>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</si>
  <si>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</si>
  <si>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</si>
  <si>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</si>
  <si>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</si>
  <si>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</si>
  <si>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</si>
  <si>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</si>
  <si>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</si>
  <si>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</si>
  <si>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</si>
  <si>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</si>
  <si>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</si>
  <si>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</si>
  <si>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</si>
  <si>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</si>
  <si>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</si>
  <si>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</si>
  <si>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</si>
  <si>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</si>
  <si>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</si>
  <si>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</si>
  <si>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</si>
  <si>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</si>
  <si>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</si>
  <si>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</si>
  <si>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</si>
  <si>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</si>
  <si>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</si>
  <si>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</si>
  <si>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</si>
  <si>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</si>
  <si>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</si>
  <si>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</si>
  <si>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</si>
  <si>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</si>
  <si>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</si>
  <si>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</si>
  <si>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</si>
  <si>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</si>
  <si>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</si>
  <si>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</si>
  <si>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</si>
  <si>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</si>
  <si>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</si>
  <si>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</si>
  <si>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</si>
  <si>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</si>
  <si>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</si>
  <si>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</si>
  <si>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</si>
  <si>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</si>
  <si>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</si>
  <si>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</si>
  <si>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</si>
  <si>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</si>
  <si>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</si>
  <si>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</si>
  <si>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</si>
  <si>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</si>
  <si>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</si>
  <si>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</si>
  <si>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</si>
  <si>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</si>
  <si>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</si>
  <si>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</si>
  <si>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</si>
  <si>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</si>
  <si>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</si>
  <si>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</si>
  <si>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</si>
  <si>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</si>
  <si>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</si>
  <si>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</si>
  <si>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</si>
  <si>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</si>
  <si>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</si>
  <si>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</si>
  <si>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</si>
  <si>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</si>
  <si>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</si>
  <si>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</si>
  <si>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</si>
  <si>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</si>
  <si>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</si>
  <si>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</si>
  <si>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</si>
  <si>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</si>
  <si>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</si>
  <si>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</si>
  <si>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</si>
  <si>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</si>
  <si>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</si>
  <si>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</si>
  <si>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</si>
  <si>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</si>
  <si>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</si>
  <si>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</si>
  <si>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</si>
  <si>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</si>
  <si>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</si>
  <si>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</si>
  <si>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</si>
  <si>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</si>
  <si>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</si>
  <si>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</si>
  <si>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</si>
  <si>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</si>
  <si>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</si>
  <si>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</si>
  <si>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</si>
  <si>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</si>
  <si>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</si>
  <si>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</si>
  <si>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</si>
  <si>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</si>
  <si>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</si>
  <si>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</si>
  <si>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</si>
  <si>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</si>
  <si>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</si>
  <si>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</si>
  <si>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</si>
  <si>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</si>
  <si>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</si>
  <si>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</si>
  <si>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</si>
  <si>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</si>
  <si>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</si>
  <si>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</si>
  <si>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</si>
  <si>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</si>
  <si>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</si>
  <si>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</si>
  <si>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</si>
  <si>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</si>
  <si>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</si>
  <si>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</si>
  <si>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</si>
  <si>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</si>
  <si>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</si>
  <si>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</si>
  <si>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</si>
  <si>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</si>
  <si>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</si>
  <si>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</si>
  <si>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</si>
  <si>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</si>
  <si>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</si>
  <si>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</si>
  <si>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</si>
  <si>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</si>
  <si>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</si>
  <si>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</si>
  <si>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</si>
  <si>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</si>
  <si>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</si>
  <si>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</si>
  <si>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</si>
  <si>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</si>
  <si>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</si>
  <si>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</si>
  <si>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</si>
  <si>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</si>
  <si>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</si>
  <si>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</si>
  <si>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</si>
  <si>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</si>
  <si>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</si>
  <si>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</si>
  <si>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</si>
  <si>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</si>
  <si>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</si>
  <si>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</si>
  <si>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</si>
  <si>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</si>
  <si>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</si>
  <si>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</si>
  <si>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</si>
  <si>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</si>
  <si>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</si>
  <si>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</si>
  <si>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</si>
  <si>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</si>
  <si>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</si>
  <si>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</si>
  <si>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</si>
  <si>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</si>
  <si>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</si>
  <si>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</si>
  <si>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</si>
  <si>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</si>
  <si>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</si>
  <si>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</si>
  <si>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</si>
  <si>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</si>
  <si>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</si>
  <si>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</si>
  <si>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</si>
  <si>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</si>
  <si>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</si>
  <si>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</si>
  <si>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</si>
  <si>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</si>
  <si>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</si>
  <si>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</si>
  <si>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</si>
  <si>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</si>
  <si>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</si>
  <si>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</si>
  <si>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</si>
  <si>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</si>
  <si>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</si>
  <si>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</si>
  <si>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</si>
  <si>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</si>
  <si>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</si>
  <si>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</si>
  <si>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</si>
  <si>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</si>
  <si>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</si>
  <si>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</si>
  <si>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</si>
  <si>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</si>
  <si>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</si>
  <si>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</si>
  <si>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</si>
  <si>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</si>
  <si>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</si>
  <si>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</si>
  <si>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</si>
  <si>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</si>
  <si>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</si>
  <si>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</si>
  <si>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</si>
  <si>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</si>
  <si>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</si>
  <si>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</si>
  <si>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</si>
  <si>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</si>
  <si>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</si>
  <si>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</si>
  <si>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</si>
  <si>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</si>
  <si>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</si>
  <si>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</si>
  <si>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</si>
  <si>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</si>
  <si>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</si>
  <si>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</si>
  <si>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</si>
  <si>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</si>
  <si>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</si>
  <si>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</si>
  <si>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</si>
  <si>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</si>
  <si>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</si>
  <si>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</si>
  <si>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</si>
  <si>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</si>
  <si>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</si>
  <si>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</si>
  <si>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</si>
  <si>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</si>
  <si>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</si>
  <si>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</si>
  <si>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</si>
  <si>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</si>
  <si>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</si>
  <si>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</si>
  <si>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</si>
  <si>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</si>
  <si>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</si>
  <si>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</si>
  <si>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</si>
  <si>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</si>
  <si>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</si>
  <si>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</si>
  <si>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</si>
  <si>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</si>
  <si>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</si>
  <si>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</si>
  <si>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</si>
  <si>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</si>
  <si>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</si>
  <si>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</si>
  <si>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</si>
  <si>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</si>
  <si>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</si>
  <si>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</si>
  <si>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</si>
  <si>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</si>
  <si>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</si>
  <si>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</si>
  <si>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</si>
  <si>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</si>
  <si>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</si>
  <si>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</si>
  <si>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</si>
  <si>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</si>
  <si>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</si>
  <si>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</si>
  <si>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</si>
  <si>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</si>
  <si>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</si>
  <si>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</si>
  <si>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</si>
  <si>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</si>
  <si>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</si>
  <si>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</si>
  <si>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</si>
  <si>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</si>
  <si>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</si>
  <si>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</si>
  <si>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</si>
  <si>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</si>
  <si>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</si>
  <si>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</si>
  <si>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</si>
  <si>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</si>
  <si>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</si>
  <si>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</si>
  <si>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</si>
  <si>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</si>
  <si>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</si>
  <si>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</si>
  <si>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</si>
  <si>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</si>
  <si>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</si>
  <si>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</si>
  <si>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</si>
  <si>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</si>
  <si>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</si>
  <si>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</si>
  <si>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</si>
  <si>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</si>
  <si>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</si>
  <si>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</si>
  <si>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</si>
  <si>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</si>
  <si>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</si>
  <si>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</si>
  <si>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</si>
  <si>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</si>
  <si>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</si>
  <si>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</si>
  <si>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</si>
  <si>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</si>
  <si>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</si>
  <si>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</si>
  <si>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</si>
  <si>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</si>
  <si>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</si>
  <si>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</si>
  <si>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</si>
  <si>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</si>
  <si>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</si>
  <si>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</si>
  <si>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</si>
  <si>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</si>
  <si>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</si>
  <si>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</si>
  <si>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</si>
  <si>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</si>
  <si>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</si>
  <si>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</si>
  <si>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</si>
  <si>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</si>
  <si>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</si>
  <si>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</si>
  <si>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</si>
  <si>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</si>
  <si>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</si>
  <si>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</si>
  <si>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</si>
  <si>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</si>
  <si>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</si>
  <si>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</si>
  <si>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</si>
  <si>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</si>
  <si>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</si>
  <si>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</si>
  <si>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</si>
  <si>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</si>
  <si>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</si>
  <si>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</si>
  <si>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</si>
  <si>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</si>
  <si>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</si>
  <si>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</si>
  <si>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</si>
  <si>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</si>
  <si>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</si>
  <si>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</si>
  <si>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</si>
  <si>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</si>
  <si>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</si>
  <si>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</si>
  <si>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</si>
  <si>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</si>
  <si>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</si>
  <si>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</si>
  <si>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</si>
  <si>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</si>
  <si>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</si>
  <si>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</si>
  <si>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</si>
  <si>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</si>
  <si>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</si>
  <si>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</si>
  <si>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</si>
  <si>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</si>
  <si>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</si>
  <si>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</si>
  <si>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</si>
  <si>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</si>
  <si>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</si>
  <si>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</si>
  <si>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</si>
  <si>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</si>
  <si>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</si>
  <si>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</si>
  <si>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</si>
  <si>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</si>
  <si>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</si>
  <si>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</si>
  <si>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</si>
  <si>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</si>
  <si>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</si>
  <si>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</si>
  <si>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</si>
  <si>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</si>
  <si>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</si>
  <si>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</si>
  <si>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</si>
  <si>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</si>
  <si>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</si>
  <si>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</si>
  <si>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</si>
  <si>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</si>
  <si>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</si>
  <si>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</si>
  <si>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</si>
  <si>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</si>
  <si>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</si>
  <si>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</si>
  <si>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</si>
  <si>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</si>
  <si>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</si>
  <si>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</si>
  <si>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</si>
  <si>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</si>
  <si>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</si>
  <si>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</si>
  <si>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</si>
  <si>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</si>
  <si>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</si>
  <si>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</si>
  <si>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</si>
  <si>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</si>
  <si>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</si>
  <si>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</si>
  <si>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</si>
  <si>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</si>
  <si>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</si>
  <si>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</si>
  <si>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</si>
  <si>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</si>
  <si>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</si>
  <si>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</si>
  <si>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</si>
  <si>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</si>
  <si>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</si>
  <si>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</si>
  <si>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</si>
  <si>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</si>
  <si>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</si>
  <si>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</si>
  <si>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</si>
  <si>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</si>
  <si>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</si>
  <si>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</si>
  <si>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</si>
  <si>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</si>
  <si>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</si>
  <si>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</si>
  <si>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</si>
  <si>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</si>
  <si>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</si>
  <si>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</si>
  <si>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</si>
  <si>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</si>
  <si>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</si>
  <si>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</si>
  <si>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</si>
  <si>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</si>
  <si>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</si>
  <si>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</si>
  <si>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</si>
  <si>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</si>
  <si>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</si>
  <si>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</si>
  <si>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</si>
  <si>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</si>
  <si>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</si>
  <si>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</si>
  <si>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</si>
  <si>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</si>
  <si>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</si>
  <si>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</si>
  <si>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</si>
  <si>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</si>
  <si>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</si>
  <si>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</si>
  <si>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</si>
  <si>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</si>
  <si>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</si>
  <si>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</si>
  <si>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</si>
  <si>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</si>
  <si>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</si>
  <si>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</si>
  <si>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</si>
  <si>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</si>
  <si>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</si>
  <si>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</si>
  <si>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</si>
  <si>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</si>
  <si>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</si>
  <si>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</si>
  <si>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</si>
  <si>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</si>
  <si>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</si>
  <si>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</si>
  <si>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</si>
  <si>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</si>
  <si>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</si>
  <si>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</si>
  <si>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</si>
  <si>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</si>
  <si>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</si>
  <si>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</si>
  <si>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</si>
  <si>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</si>
  <si>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</si>
  <si>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</si>
  <si>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</si>
  <si>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</si>
  <si>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</si>
  <si>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</si>
  <si>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</si>
  <si>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</si>
  <si>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</si>
  <si>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</si>
  <si>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</si>
  <si>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</si>
  <si>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</si>
  <si>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</si>
  <si>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</si>
  <si>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</si>
  <si>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</si>
  <si>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</si>
  <si>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</si>
  <si>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</si>
  <si>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</si>
  <si>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</si>
  <si>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</si>
  <si>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</si>
  <si>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</si>
  <si>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</si>
  <si>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</si>
  <si>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</si>
  <si>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</si>
  <si>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</si>
  <si>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</si>
  <si>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</si>
  <si>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</si>
  <si>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</si>
  <si>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</si>
  <si>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</si>
  <si>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</si>
  <si>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</si>
  <si>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</si>
  <si>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</si>
  <si>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</si>
  <si>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</si>
  <si>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</si>
  <si>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</si>
  <si>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</si>
  <si>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</si>
  <si>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</si>
  <si>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</si>
  <si>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</si>
  <si>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</si>
  <si>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</si>
  <si>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</si>
  <si>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</si>
  <si>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</si>
  <si>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</si>
  <si>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</si>
  <si>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</si>
  <si>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</si>
  <si>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</si>
  <si>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</si>
  <si>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</si>
  <si>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</si>
  <si>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</si>
  <si>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</si>
  <si>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</si>
  <si>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</si>
  <si>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</si>
  <si>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</si>
  <si>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</si>
  <si>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</si>
  <si>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</si>
  <si>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</si>
  <si>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</si>
  <si>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</si>
  <si>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</si>
  <si>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</si>
  <si>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</si>
  <si>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</si>
  <si>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</si>
  <si>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</si>
  <si>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</si>
  <si>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</si>
  <si>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</si>
  <si>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</si>
  <si>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</si>
  <si>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</si>
  <si>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</si>
  <si>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</si>
  <si>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</si>
  <si>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</si>
  <si>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</si>
  <si>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</si>
  <si>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</si>
  <si>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</si>
  <si>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</si>
  <si>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</si>
  <si>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</si>
  <si>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</si>
  <si>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</si>
  <si>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</si>
  <si>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</si>
  <si>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</si>
  <si>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</si>
  <si>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</si>
  <si>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</si>
  <si>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</si>
  <si>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</si>
  <si>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</si>
  <si>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</si>
  <si>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</si>
  <si>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</si>
  <si>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</si>
  <si>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</si>
  <si>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</si>
  <si>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</si>
  <si>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</si>
  <si>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</si>
  <si>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</si>
  <si>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</si>
  <si>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</si>
  <si>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</si>
  <si>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</si>
  <si>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</si>
  <si>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</si>
  <si>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</si>
  <si>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</si>
  <si>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</si>
  <si>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</si>
  <si>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</si>
  <si>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</si>
  <si>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</si>
  <si>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</si>
  <si>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</si>
  <si>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</si>
  <si>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</si>
  <si>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</si>
  <si>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</si>
  <si>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</si>
  <si>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</si>
  <si>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</si>
  <si>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</si>
  <si>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</si>
  <si>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</si>
  <si>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</si>
  <si>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</si>
  <si>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</si>
  <si>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</si>
  <si>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</si>
  <si>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</si>
  <si>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</si>
  <si>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</si>
  <si>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</si>
  <si>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</si>
  <si>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</si>
  <si>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</si>
  <si>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</si>
  <si>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</si>
  <si>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</si>
  <si>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</si>
  <si>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</si>
  <si>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</si>
  <si>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</si>
  <si>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</si>
  <si>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</si>
  <si>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</si>
  <si>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</si>
  <si>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</si>
  <si>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</si>
  <si>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</si>
  <si>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</si>
  <si>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</si>
  <si>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</si>
  <si>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</si>
  <si>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</si>
  <si>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</si>
  <si>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</si>
  <si>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</si>
  <si>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</si>
  <si>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</si>
  <si>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</si>
  <si>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</si>
  <si>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</si>
  <si>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</si>
  <si>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</si>
  <si>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</si>
  <si>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</si>
  <si>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</si>
  <si>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</si>
  <si>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</si>
  <si>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</si>
  <si>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</si>
  <si>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</si>
  <si>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</si>
  <si>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</si>
  <si>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</si>
  <si>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</si>
  <si>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</si>
  <si>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</si>
  <si>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</si>
  <si>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</si>
  <si>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</si>
  <si>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</si>
  <si>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</si>
  <si>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</si>
  <si>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</si>
  <si>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</si>
  <si>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</si>
  <si>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</si>
  <si>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</si>
  <si>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</si>
  <si>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</si>
  <si>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</si>
  <si>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</si>
  <si>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</si>
  <si>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</si>
  <si>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</si>
  <si>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</si>
  <si>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</si>
  <si>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</si>
  <si>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</si>
  <si>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</si>
  <si>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</si>
  <si>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</si>
  <si>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</si>
  <si>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</si>
  <si>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</si>
  <si>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</si>
  <si>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</si>
  <si>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</si>
  <si>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</si>
  <si>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</si>
  <si>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</si>
  <si>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</si>
  <si>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</si>
  <si>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</si>
  <si>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</si>
  <si>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</si>
  <si>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</si>
  <si>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</si>
  <si>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</si>
  <si>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</si>
  <si>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</si>
  <si>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</si>
  <si>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</si>
  <si>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</si>
  <si>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</si>
  <si>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</si>
  <si>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</si>
  <si>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</si>
  <si>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</si>
  <si>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</si>
  <si>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</si>
  <si>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</si>
  <si>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</si>
  <si>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</si>
  <si>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</si>
  <si>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</si>
  <si>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</si>
  <si>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</si>
  <si>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</si>
  <si>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</si>
  <si>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</si>
  <si>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</si>
  <si>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</si>
  <si>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</si>
  <si>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</si>
  <si>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</si>
  <si>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</si>
  <si>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</si>
  <si>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</si>
  <si>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</si>
  <si>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</si>
  <si>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</si>
  <si>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</si>
  <si>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</si>
  <si>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</si>
  <si>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</si>
  <si>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</si>
  <si>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</si>
  <si>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</si>
  <si>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</si>
  <si>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</si>
  <si>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</si>
  <si>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</si>
  <si>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</si>
  <si>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</si>
  <si>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</si>
  <si>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</si>
  <si>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</si>
  <si>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</si>
  <si>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</si>
  <si>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</si>
  <si>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</si>
  <si>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</si>
  <si>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</si>
  <si>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</si>
  <si>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</si>
  <si>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</si>
  <si>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</si>
  <si>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</si>
  <si>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</si>
  <si>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</si>
  <si>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</si>
  <si>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</si>
  <si>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</si>
  <si>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</si>
  <si>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</si>
  <si>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</si>
  <si>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</si>
  <si>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</si>
  <si>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</si>
  <si>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</si>
  <si>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</si>
  <si>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</si>
  <si>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</si>
  <si>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</si>
  <si>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</si>
  <si>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</si>
  <si>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</si>
  <si>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</si>
  <si>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</si>
  <si>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</si>
  <si>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</si>
  <si>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</si>
  <si>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</si>
  <si>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</si>
  <si>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</si>
  <si>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</si>
  <si>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</si>
  <si>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</si>
  <si>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</si>
  <si>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</si>
  <si>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</si>
  <si>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</si>
  <si>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</si>
  <si>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</si>
  <si>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</si>
  <si>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</si>
  <si>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</si>
  <si>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</si>
  <si>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</si>
  <si>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</si>
  <si>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</si>
  <si>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</si>
  <si>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</si>
  <si>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</si>
  <si>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RfG_LVFRT_profile_Pref_05_Pavail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</si>
</sst>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924</v>
      </c>
      <c r="B19" s="283" t="b">
        <v>0</v>
      </c>
      <c r="C19" s="292" t="s">
        <v>11</v>
      </c>
      <c r="E19" s="293" t="s">
        <v>923</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40" activePane="bottomLeft" state="frozen"/>
      <selection pane="bottomLeft" activeCell="D70" sqref="D70"/>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925</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932</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921</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927</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928</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929</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920</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933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911</v>
      </c>
      <c r="Q110" s="97">
        <v>1</v>
      </c>
      <c r="R110" s="97">
        <v>0.75</v>
      </c>
      <c r="S110" s="97"/>
      <c r="T110" s="89" t="s">
        <v>911</v>
      </c>
      <c r="U110" s="89">
        <v>5</v>
      </c>
      <c r="V110" s="89">
        <v>0.25</v>
      </c>
      <c r="W110" s="89"/>
      <c r="X110" s="97" t="s">
        <v>911</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919</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911</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930</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931</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877</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878</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917</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918</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879</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880</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881</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882</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883</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884</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885</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926</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886</v>
      </c>
      <c r="E153" s="89">
        <f t="shared" si="70"/>
        <v>1.0651315789473685</v>
      </c>
      <c r="F153" s="89">
        <v>1</v>
      </c>
      <c r="G153" s="89" t="s">
        <v>106</v>
      </c>
      <c r="H153" s="91" t="s">
        <v>220</v>
      </c>
      <c r="I153" s="90" t="s">
        <v>106</v>
      </c>
      <c r="J153" s="89">
        <v>0</v>
      </c>
      <c r="K153" s="89" t="s">
        <v>106</v>
      </c>
      <c r="L153" s="91">
        <f>inp_scr_max</f>
        <v>30</v>
      </c>
      <c r="M153" s="91">
        <f>inp_xr_max</f>
        <v>20</v>
      </c>
      <c r="N153" s="91" t="s">
        <v>926</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887</v>
      </c>
      <c r="E154" s="89">
        <f t="shared" si="70"/>
        <v>1.0651315789473685</v>
      </c>
      <c r="F154" s="89">
        <v>1</v>
      </c>
      <c r="G154" s="89" t="s">
        <v>106</v>
      </c>
      <c r="H154" s="91" t="s">
        <v>220</v>
      </c>
      <c r="I154" s="90" t="s">
        <v>106</v>
      </c>
      <c r="J154" s="89">
        <v>0</v>
      </c>
      <c r="K154" s="89" t="s">
        <v>106</v>
      </c>
      <c r="L154" s="91">
        <f>inp_scr_min</f>
        <v>10</v>
      </c>
      <c r="M154" s="91">
        <f t="shared" si="74"/>
        <v>10</v>
      </c>
      <c r="N154" s="91" t="s">
        <v>926</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888</v>
      </c>
      <c r="E155" s="89">
        <f t="shared" si="70"/>
        <v>1.0651315789473685</v>
      </c>
      <c r="F155" s="89">
        <v>1</v>
      </c>
      <c r="G155" s="89" t="s">
        <v>106</v>
      </c>
      <c r="H155" s="91" t="s">
        <v>220</v>
      </c>
      <c r="I155" s="90" t="s">
        <v>106</v>
      </c>
      <c r="J155" s="89">
        <v>0</v>
      </c>
      <c r="K155" s="89" t="s">
        <v>106</v>
      </c>
      <c r="L155" s="91">
        <f>inp_scr_max</f>
        <v>30</v>
      </c>
      <c r="M155" s="91">
        <f>inp_xr_max</f>
        <v>20</v>
      </c>
      <c r="N155" s="91" t="s">
        <v>926</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889</v>
      </c>
      <c r="E156" s="89">
        <f t="shared" si="70"/>
        <v>1.0651315789473685</v>
      </c>
      <c r="F156" s="89">
        <v>1</v>
      </c>
      <c r="G156" s="89" t="s">
        <v>106</v>
      </c>
      <c r="H156" s="91" t="s">
        <v>220</v>
      </c>
      <c r="I156" s="90" t="s">
        <v>106</v>
      </c>
      <c r="J156" s="89">
        <v>0</v>
      </c>
      <c r="K156" s="89" t="s">
        <v>106</v>
      </c>
      <c r="L156" s="91">
        <f>inp_scr_min</f>
        <v>10</v>
      </c>
      <c r="M156" s="91">
        <f t="shared" si="74"/>
        <v>10</v>
      </c>
      <c r="N156" s="91" t="s">
        <v>926</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890</v>
      </c>
      <c r="E157" s="89">
        <f t="shared" si="70"/>
        <v>1.0651315789473685</v>
      </c>
      <c r="F157" s="89">
        <v>1</v>
      </c>
      <c r="G157" s="89" t="s">
        <v>106</v>
      </c>
      <c r="H157" s="91" t="s">
        <v>220</v>
      </c>
      <c r="I157" s="90" t="s">
        <v>106</v>
      </c>
      <c r="J157" s="89">
        <v>0</v>
      </c>
      <c r="K157" s="89" t="s">
        <v>106</v>
      </c>
      <c r="L157" s="91">
        <f>inp_scr_max</f>
        <v>30</v>
      </c>
      <c r="M157" s="91">
        <f>inp_xr_max</f>
        <v>20</v>
      </c>
      <c r="N157" s="91" t="s">
        <v>926</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891</v>
      </c>
      <c r="E158" s="89">
        <f t="shared" si="70"/>
        <v>1.0651315789473685</v>
      </c>
      <c r="F158" s="89">
        <v>1</v>
      </c>
      <c r="G158" s="89" t="s">
        <v>106</v>
      </c>
      <c r="H158" s="91" t="s">
        <v>220</v>
      </c>
      <c r="I158" s="90" t="s">
        <v>106</v>
      </c>
      <c r="J158" s="89">
        <v>0</v>
      </c>
      <c r="K158" s="89" t="s">
        <v>106</v>
      </c>
      <c r="L158" s="91">
        <f>inp_scr_min</f>
        <v>10</v>
      </c>
      <c r="M158" s="91">
        <f t="shared" si="74"/>
        <v>10</v>
      </c>
      <c r="N158" s="91" t="s">
        <v>926</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892</v>
      </c>
      <c r="E159" s="89">
        <f t="shared" si="70"/>
        <v>1.0651315789473685</v>
      </c>
      <c r="F159" s="89">
        <v>1</v>
      </c>
      <c r="G159" s="89" t="s">
        <v>106</v>
      </c>
      <c r="H159" s="91" t="s">
        <v>220</v>
      </c>
      <c r="I159" s="90" t="s">
        <v>106</v>
      </c>
      <c r="J159" s="89">
        <v>0</v>
      </c>
      <c r="K159" s="89" t="s">
        <v>106</v>
      </c>
      <c r="L159" s="91">
        <f>inp_scr_max</f>
        <v>30</v>
      </c>
      <c r="M159" s="91">
        <f>inp_xr_max</f>
        <v>20</v>
      </c>
      <c r="N159" s="91" t="s">
        <v>926</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893</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894</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895</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896</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897</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898</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899</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900</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901</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902</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903</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904</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905</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906</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907</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908</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909</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922</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910</v>
      </c>
      <c r="E178" s="89">
        <f t="shared" si="70"/>
        <v>1.0651315789473685</v>
      </c>
      <c r="F178" s="89">
        <v>1</v>
      </c>
      <c r="G178" s="89" t="s">
        <v>106</v>
      </c>
      <c r="H178" s="91" t="s">
        <v>220</v>
      </c>
      <c r="I178" s="90" t="s">
        <v>22</v>
      </c>
      <c r="J178" s="89">
        <v>0</v>
      </c>
      <c r="K178" s="89" t="s">
        <v>106</v>
      </c>
      <c r="L178" s="91">
        <f>inp_scr_min</f>
        <v>10</v>
      </c>
      <c r="M178" s="91">
        <f t="shared" si="79"/>
        <v>10</v>
      </c>
      <c r="N178" s="91" t="s">
        <v>926</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911</v>
      </c>
      <c r="B3" s="113" t="s">
        <v>914</v>
      </c>
      <c r="C3" s="113" t="s">
        <v>915</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912</v>
      </c>
      <c r="B5" s="113" t="s">
        <v>913</v>
      </c>
      <c r="C5" s="113" t="s">
        <v>916</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2026-01-23T16:29:50Z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