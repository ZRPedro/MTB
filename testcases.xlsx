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94" documentId="11_75BCC0E3648942E3F9B3ABC73D174D462146C19F" xr6:coauthVersionLast="47" xr6:coauthVersionMax="47" xr10:uidLastSave="{509DD12B-C63D-4EFD-BF07-6F01ED60C84D}"/>
  <bookViews>
    <workbookView xWindow="-17610" yWindow="-21720" windowWidth="38640" windowHeight="2112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<sst xmlns="http://schemas.openxmlformats.org/spreadsheetml/2006/main" count="4295" uniqueCount="934">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</sst>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A19" sqref="A19"/>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926</v>
      </c>
      <c r="B19" s="283" t="b">
        <v>0</v>
      </c>
      <c r="C19" s="292" t="s">
        <v>11</v>
      </c>
      <c r="E19" s="293" t="s">
        <v>925</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rgb="FF00847C"/>
  </sheetPr>
  <dimension ref="A1:CQ218"/>
  <sheetViews>
    <sheetView tabSelected="1" zoomScaleNormal="100" workbookViewId="0">
      <pane ySplit="2" topLeftCell="A40" activePane="bottomLeft" state="frozen"/>
      <selection pane="bottomLeft" activeCell="D171" sqref="D171"/>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927</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hidden="1"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hidden="1"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hidden="1"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hidden="1"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hidden="1"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hidden="1"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hidden="1"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hidden="1"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hidden="1"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hidden="1"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hidden="1"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hidden="1"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hidden="1"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hidden="1"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hidden="1"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hidden="1"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hidden="1"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hidden="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hidden="1"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hidden="1"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hidden="1"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hidden="1"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hidden="1"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hidden="1"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hidden="1"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hidden="1"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hidden="1"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hidden="1"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hidden="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hidden="1"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hidden="1"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hidden="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v>0</v>
      </c>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hidden="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v>0</v>
      </c>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hidden="1"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v>0</v>
      </c>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hidden="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v>0</v>
      </c>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hidden="1"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v>0</v>
      </c>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hidden="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v>0</v>
      </c>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hidden="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hidden="1"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hidden="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hidden="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hidden="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hidden="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hidden="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hidden="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hidden="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hidden="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hidden="1"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hidden="1"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hidden="1" x14ac:dyDescent="0.4">
      <c r="A57" s="1">
        <v>55</v>
      </c>
      <c r="B57" s="11" t="b">
        <v>1</v>
      </c>
      <c r="C57" s="11" t="b">
        <v>1</v>
      </c>
      <c r="D57" s="1" t="s">
        <v>923</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hidden="1" x14ac:dyDescent="0.4">
      <c r="A58" s="1">
        <v>56</v>
      </c>
      <c r="B58" s="11" t="b">
        <v>1</v>
      </c>
      <c r="C58" s="11" t="b">
        <v>1</v>
      </c>
      <c r="D58" s="1" t="s">
        <v>922</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hidden="1" x14ac:dyDescent="0.4">
      <c r="A59" s="1">
        <v>57</v>
      </c>
      <c r="B59" s="88" t="b">
        <f t="shared" ref="B59:C61" si="19">inp_Un&gt;=110</f>
        <v>1</v>
      </c>
      <c r="C59" s="88" t="b">
        <f t="shared" si="19"/>
        <v>1</v>
      </c>
      <c r="D59" s="87" t="s">
        <v>929</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hidden="1" x14ac:dyDescent="0.4">
      <c r="A60" s="1">
        <v>58</v>
      </c>
      <c r="B60" s="88" t="b">
        <f t="shared" si="19"/>
        <v>1</v>
      </c>
      <c r="C60" s="88" t="b">
        <f t="shared" si="19"/>
        <v>1</v>
      </c>
      <c r="D60" s="87" t="s">
        <v>930</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hidden="1" x14ac:dyDescent="0.4">
      <c r="A61" s="1">
        <v>59</v>
      </c>
      <c r="B61" s="88" t="b">
        <f t="shared" si="19"/>
        <v>1</v>
      </c>
      <c r="C61" s="88" t="b">
        <f t="shared" si="19"/>
        <v>1</v>
      </c>
      <c r="D61" s="87" t="s">
        <v>931</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hidden="1"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hidden="1"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hidden="1"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hidden="1"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hidden="1"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hidden="1"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hidden="1"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hidden="1" x14ac:dyDescent="0.4">
      <c r="A69" s="1">
        <v>67</v>
      </c>
      <c r="B69" s="11" t="b">
        <v>1</v>
      </c>
      <c r="C69" s="11" t="b">
        <v>1</v>
      </c>
      <c r="D69" s="1" t="s">
        <v>920</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hidden="1" x14ac:dyDescent="0.4">
      <c r="A70" s="1">
        <v>68</v>
      </c>
      <c r="B70" s="88" t="b">
        <f t="shared" ref="B70:C71" si="24">inp_Un&gt;=110</f>
        <v>1</v>
      </c>
      <c r="C70" s="88" t="b">
        <f t="shared" si="24"/>
        <v>1</v>
      </c>
      <c r="D70" s="87" t="s">
        <v>921</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hidden="1" x14ac:dyDescent="0.4">
      <c r="A71" s="1">
        <v>69</v>
      </c>
      <c r="B71" s="88" t="b">
        <f t="shared" si="24"/>
        <v>1</v>
      </c>
      <c r="C71" s="88" t="b">
        <f t="shared" si="24"/>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hidden="1"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hidden="1"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hidden="1"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hidden="1"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hidden="1"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hidden="1"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hidden="1"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hidden="1"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hidden="1"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hidden="1"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hidden="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hidden="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hidden="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hidden="1"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hidden="1"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hidden="1"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hidden="1"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hidden="1"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hidden="1"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hidden="1" x14ac:dyDescent="0.4">
      <c r="A91" s="1">
        <v>89</v>
      </c>
      <c r="B91" s="88" t="b">
        <f t="shared" ref="B91:C99" si="30">inp_Un&gt;=110</f>
        <v>1</v>
      </c>
      <c r="C91" s="88" t="b">
        <f t="shared" si="30"/>
        <v>1</v>
      </c>
      <c r="D91" s="87" t="s">
        <v>827</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hidden="1" x14ac:dyDescent="0.4">
      <c r="A92" s="1">
        <v>90</v>
      </c>
      <c r="B92" s="88" t="b">
        <f t="shared" si="30"/>
        <v>1</v>
      </c>
      <c r="C92" s="88" t="b">
        <f t="shared" si="30"/>
        <v>1</v>
      </c>
      <c r="D92" s="87" t="s">
        <v>828</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hidden="1" x14ac:dyDescent="0.4">
      <c r="A93" s="1">
        <v>91</v>
      </c>
      <c r="B93" s="88" t="b">
        <f t="shared" si="30"/>
        <v>1</v>
      </c>
      <c r="C93" s="88" t="b">
        <f t="shared" si="30"/>
        <v>1</v>
      </c>
      <c r="D93" s="87" t="s">
        <v>829</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hidden="1" x14ac:dyDescent="0.4">
      <c r="A94" s="1">
        <v>92</v>
      </c>
      <c r="B94" s="88" t="b">
        <f t="shared" si="30"/>
        <v>1</v>
      </c>
      <c r="C94" s="88" t="b">
        <f t="shared" si="30"/>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hidden="1" x14ac:dyDescent="0.4">
      <c r="A95" s="1">
        <v>93</v>
      </c>
      <c r="B95" s="88" t="b">
        <f t="shared" si="30"/>
        <v>1</v>
      </c>
      <c r="C95" s="88" t="b">
        <f t="shared" si="30"/>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hidden="1" x14ac:dyDescent="0.4">
      <c r="A96" s="1">
        <v>94</v>
      </c>
      <c r="B96" s="88" t="b">
        <f t="shared" si="30"/>
        <v>1</v>
      </c>
      <c r="C96" s="88" t="b">
        <f t="shared" si="30"/>
        <v>1</v>
      </c>
      <c r="D96" s="87" t="s">
        <v>834</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hidden="1" x14ac:dyDescent="0.4">
      <c r="A97" s="1">
        <v>95</v>
      </c>
      <c r="B97" s="88" t="b">
        <f t="shared" si="30"/>
        <v>1</v>
      </c>
      <c r="C97" s="88" t="b">
        <f t="shared" si="30"/>
        <v>1</v>
      </c>
      <c r="D97" s="87" t="s">
        <v>835</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hidden="1" x14ac:dyDescent="0.4">
      <c r="A98" s="1">
        <v>96</v>
      </c>
      <c r="B98" s="88" t="b">
        <f t="shared" si="30"/>
        <v>1</v>
      </c>
      <c r="C98" s="88" t="b">
        <f t="shared" si="30"/>
        <v>1</v>
      </c>
      <c r="D98" s="87" t="s">
        <v>836</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hidden="1" x14ac:dyDescent="0.4">
      <c r="A99" s="1">
        <v>97</v>
      </c>
      <c r="B99" s="88" t="b">
        <f t="shared" si="30"/>
        <v>1</v>
      </c>
      <c r="C99" s="88" t="b">
        <f t="shared" si="30"/>
        <v>1</v>
      </c>
      <c r="D99" s="87" t="s">
        <v>837</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hidden="1" x14ac:dyDescent="0.4">
      <c r="A100" s="1">
        <v>98</v>
      </c>
      <c r="B100" s="88" t="b">
        <f t="shared" ref="B100:C140" si="34">inp_Un&gt;=110</f>
        <v>1</v>
      </c>
      <c r="C100" s="88" t="b">
        <f t="shared" si="34"/>
        <v>1</v>
      </c>
      <c r="D100" s="87" t="s">
        <v>838</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4"/>
        <v>1</v>
      </c>
      <c r="C101" s="88" t="b">
        <f t="shared" si="34"/>
        <v>1</v>
      </c>
      <c r="D101" s="87" t="s">
        <v>839</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4"/>
        <v>1</v>
      </c>
      <c r="C102" s="88" t="b">
        <f t="shared" si="34"/>
        <v>1</v>
      </c>
      <c r="D102" s="87" t="s">
        <v>840</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4"/>
        <v>1</v>
      </c>
      <c r="C103" s="88" t="b">
        <f t="shared" si="34"/>
        <v>1</v>
      </c>
      <c r="D103" s="87" t="s">
        <v>841</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4"/>
        <v>1</v>
      </c>
      <c r="C104" s="88" t="b">
        <f t="shared" si="34"/>
        <v>1</v>
      </c>
      <c r="D104" s="87" t="s">
        <v>842</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4"/>
        <v>1</v>
      </c>
      <c r="C105" s="88" t="b">
        <f t="shared" si="34"/>
        <v>1</v>
      </c>
      <c r="D105" s="87" t="s">
        <v>843</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4"/>
        <v>1</v>
      </c>
      <c r="C106" s="88" t="b">
        <f t="shared" si="34"/>
        <v>1</v>
      </c>
      <c r="D106" s="87" t="s">
        <v>844</v>
      </c>
      <c r="E106" s="89">
        <f t="shared" si="35"/>
        <v>1.0651315789473685</v>
      </c>
      <c r="F106" s="89">
        <v>1</v>
      </c>
      <c r="G106" s="89" t="s">
        <v>106</v>
      </c>
      <c r="H106" s="91" t="s">
        <v>220</v>
      </c>
      <c r="I106" s="90" t="s">
        <v>111</v>
      </c>
      <c r="J106" s="89">
        <f t="shared" si="36"/>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4"/>
        <v>1</v>
      </c>
      <c r="C107" s="88" t="b">
        <f t="shared" si="34"/>
        <v>1</v>
      </c>
      <c r="D107" s="87" t="s">
        <v>845</v>
      </c>
      <c r="E107" s="89">
        <f t="shared" si="35"/>
        <v>1.0651315789473685</v>
      </c>
      <c r="F107" s="89">
        <v>1</v>
      </c>
      <c r="G107" s="89" t="s">
        <v>106</v>
      </c>
      <c r="H107" s="91" t="s">
        <v>220</v>
      </c>
      <c r="I107" s="90" t="s">
        <v>111</v>
      </c>
      <c r="J107" s="89">
        <f t="shared" si="36"/>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4"/>
        <v>1</v>
      </c>
      <c r="C108" s="88" t="b">
        <f t="shared" si="34"/>
        <v>1</v>
      </c>
      <c r="D108" s="87" t="s">
        <v>846</v>
      </c>
      <c r="E108" s="89">
        <f t="shared" si="35"/>
        <v>1.0651315789473685</v>
      </c>
      <c r="F108" s="89">
        <v>1</v>
      </c>
      <c r="G108" s="89" t="s">
        <v>106</v>
      </c>
      <c r="H108" s="91" t="s">
        <v>220</v>
      </c>
      <c r="I108" s="90" t="s">
        <v>111</v>
      </c>
      <c r="J108" s="89">
        <f t="shared" si="36"/>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4"/>
        <v>1</v>
      </c>
      <c r="C109" s="88" t="b">
        <f t="shared" si="34"/>
        <v>1</v>
      </c>
      <c r="D109" s="87" t="s">
        <v>847</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hidden="1" x14ac:dyDescent="0.4">
      <c r="A110" s="1">
        <v>108</v>
      </c>
      <c r="B110" s="88" t="b">
        <f t="shared" si="34"/>
        <v>1</v>
      </c>
      <c r="C110" s="88" t="b">
        <f t="shared" si="34"/>
        <v>1</v>
      </c>
      <c r="D110" s="87" t="s">
        <v>848</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911</v>
      </c>
      <c r="Q110" s="97">
        <v>1</v>
      </c>
      <c r="R110" s="97">
        <v>0.75</v>
      </c>
      <c r="S110" s="97"/>
      <c r="T110" s="89" t="s">
        <v>911</v>
      </c>
      <c r="U110" s="89">
        <v>5</v>
      </c>
      <c r="V110" s="89">
        <v>0.25</v>
      </c>
      <c r="W110" s="89"/>
      <c r="X110" s="97" t="s">
        <v>911</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hidden="1" x14ac:dyDescent="0.4">
      <c r="A111" s="1">
        <v>109</v>
      </c>
      <c r="B111" s="88" t="b">
        <f t="shared" si="34"/>
        <v>1</v>
      </c>
      <c r="C111" s="88" t="b">
        <f t="shared" si="34"/>
        <v>1</v>
      </c>
      <c r="D111" s="87" t="s">
        <v>919</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911</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hidden="1" x14ac:dyDescent="0.4">
      <c r="A112" s="1">
        <v>110</v>
      </c>
      <c r="B112" s="88" t="b">
        <f t="shared" si="34"/>
        <v>1</v>
      </c>
      <c r="C112" s="88" t="b">
        <f t="shared" si="34"/>
        <v>1</v>
      </c>
      <c r="D112" s="87" t="s">
        <v>849</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hidden="1" x14ac:dyDescent="0.4">
      <c r="A113" s="1">
        <v>111</v>
      </c>
      <c r="B113" s="88" t="b">
        <f t="shared" si="34"/>
        <v>1</v>
      </c>
      <c r="C113" s="88" t="b">
        <f t="shared" si="34"/>
        <v>1</v>
      </c>
      <c r="D113" s="87" t="s">
        <v>850</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hidden="1" x14ac:dyDescent="0.4">
      <c r="A114" s="1">
        <v>112</v>
      </c>
      <c r="B114" s="88" t="b">
        <f t="shared" si="34"/>
        <v>1</v>
      </c>
      <c r="C114" s="88" t="b">
        <f t="shared" si="34"/>
        <v>1</v>
      </c>
      <c r="D114" s="87" t="s">
        <v>851</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hidden="1" x14ac:dyDescent="0.4">
      <c r="A115" s="1">
        <v>113</v>
      </c>
      <c r="B115" s="88" t="b">
        <f t="shared" si="34"/>
        <v>1</v>
      </c>
      <c r="C115" s="88" t="b">
        <f t="shared" si="34"/>
        <v>1</v>
      </c>
      <c r="D115" s="87" t="s">
        <v>852</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hidden="1" x14ac:dyDescent="0.4">
      <c r="A116" s="1">
        <v>114</v>
      </c>
      <c r="B116" s="88" t="b">
        <f t="shared" si="34"/>
        <v>1</v>
      </c>
      <c r="C116" s="88" t="b">
        <f t="shared" si="34"/>
        <v>1</v>
      </c>
      <c r="D116" s="87" t="s">
        <v>853</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hidden="1" x14ac:dyDescent="0.4">
      <c r="A117" s="1">
        <v>115</v>
      </c>
      <c r="B117" s="88" t="b">
        <f t="shared" si="34"/>
        <v>1</v>
      </c>
      <c r="C117" s="88" t="b">
        <f t="shared" si="34"/>
        <v>1</v>
      </c>
      <c r="D117" s="87" t="s">
        <v>854</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hidden="1" x14ac:dyDescent="0.4">
      <c r="A118" s="1">
        <v>116</v>
      </c>
      <c r="B118" s="88" t="b">
        <f t="shared" si="34"/>
        <v>1</v>
      </c>
      <c r="C118" s="88" t="b">
        <f t="shared" si="34"/>
        <v>1</v>
      </c>
      <c r="D118" s="87" t="s">
        <v>855</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hidden="1" x14ac:dyDescent="0.4">
      <c r="A119" s="1">
        <v>117</v>
      </c>
      <c r="B119" s="88" t="b">
        <f t="shared" si="34"/>
        <v>1</v>
      </c>
      <c r="C119" s="88" t="b">
        <f t="shared" si="34"/>
        <v>1</v>
      </c>
      <c r="D119" s="87" t="s">
        <v>856</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hidden="1" x14ac:dyDescent="0.4">
      <c r="A120" s="1">
        <v>118</v>
      </c>
      <c r="B120" s="88" t="b">
        <f t="shared" si="34"/>
        <v>1</v>
      </c>
      <c r="C120" s="88" t="b">
        <f t="shared" si="34"/>
        <v>1</v>
      </c>
      <c r="D120" s="87" t="s">
        <v>857</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hidden="1" x14ac:dyDescent="0.4">
      <c r="A121" s="1">
        <v>119</v>
      </c>
      <c r="B121" s="88" t="b">
        <f t="shared" si="34"/>
        <v>1</v>
      </c>
      <c r="C121" s="88" t="b">
        <f t="shared" si="34"/>
        <v>1</v>
      </c>
      <c r="D121" s="87" t="s">
        <v>858</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hidden="1" x14ac:dyDescent="0.4">
      <c r="A122" s="1">
        <v>120</v>
      </c>
      <c r="B122" s="88" t="b">
        <f t="shared" si="34"/>
        <v>1</v>
      </c>
      <c r="C122" s="88" t="b">
        <f t="shared" si="34"/>
        <v>1</v>
      </c>
      <c r="D122" s="87" t="s">
        <v>859</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hidden="1" x14ac:dyDescent="0.4">
      <c r="A123" s="1">
        <v>121</v>
      </c>
      <c r="B123" s="88" t="b">
        <f t="shared" si="34"/>
        <v>1</v>
      </c>
      <c r="C123" s="88" t="b">
        <f t="shared" si="34"/>
        <v>1</v>
      </c>
      <c r="D123" s="87" t="s">
        <v>860</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hidden="1" x14ac:dyDescent="0.4">
      <c r="A124" s="1">
        <v>122</v>
      </c>
      <c r="B124" s="88" t="b">
        <f t="shared" si="34"/>
        <v>1</v>
      </c>
      <c r="C124" s="88" t="b">
        <f t="shared" si="34"/>
        <v>1</v>
      </c>
      <c r="D124" s="87" t="s">
        <v>861</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hidden="1" x14ac:dyDescent="0.4">
      <c r="A125" s="1">
        <v>123</v>
      </c>
      <c r="B125" s="88" t="b">
        <f t="shared" si="34"/>
        <v>1</v>
      </c>
      <c r="C125" s="88" t="b">
        <f t="shared" si="34"/>
        <v>1</v>
      </c>
      <c r="D125" s="87" t="s">
        <v>862</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hidden="1" x14ac:dyDescent="0.4">
      <c r="A126" s="1">
        <v>124</v>
      </c>
      <c r="B126" s="88" t="b">
        <f t="shared" si="34"/>
        <v>1</v>
      </c>
      <c r="C126" s="88" t="b">
        <f t="shared" si="34"/>
        <v>1</v>
      </c>
      <c r="D126" s="87" t="s">
        <v>863</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hidden="1" x14ac:dyDescent="0.4">
      <c r="A127" s="1">
        <v>125</v>
      </c>
      <c r="B127" s="88" t="b">
        <f t="shared" si="34"/>
        <v>1</v>
      </c>
      <c r="C127" s="88" t="b">
        <f t="shared" si="34"/>
        <v>1</v>
      </c>
      <c r="D127" s="87" t="s">
        <v>864</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hidden="1" x14ac:dyDescent="0.4">
      <c r="A128" s="1">
        <v>126</v>
      </c>
      <c r="B128" s="88" t="b">
        <f t="shared" si="34"/>
        <v>1</v>
      </c>
      <c r="C128" s="88" t="b">
        <f t="shared" si="34"/>
        <v>1</v>
      </c>
      <c r="D128" s="87" t="s">
        <v>865</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hidden="1" x14ac:dyDescent="0.4">
      <c r="A129" s="1">
        <v>127</v>
      </c>
      <c r="B129" s="88" t="b">
        <f t="shared" si="34"/>
        <v>1</v>
      </c>
      <c r="C129" s="88" t="b">
        <f t="shared" si="34"/>
        <v>1</v>
      </c>
      <c r="D129" s="87" t="s">
        <v>866</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hidden="1" x14ac:dyDescent="0.4">
      <c r="A130" s="1">
        <v>128</v>
      </c>
      <c r="B130" s="88" t="b">
        <f t="shared" si="34"/>
        <v>1</v>
      </c>
      <c r="C130" s="88" t="b">
        <f t="shared" si="34"/>
        <v>1</v>
      </c>
      <c r="D130" s="87" t="s">
        <v>867</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hidden="1" x14ac:dyDescent="0.4">
      <c r="A131" s="1">
        <v>129</v>
      </c>
      <c r="B131" s="88" t="b">
        <f t="shared" si="34"/>
        <v>1</v>
      </c>
      <c r="C131" s="88" t="b">
        <f t="shared" si="34"/>
        <v>1</v>
      </c>
      <c r="D131" s="87" t="s">
        <v>868</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hidden="1" x14ac:dyDescent="0.4">
      <c r="A132" s="1">
        <v>130</v>
      </c>
      <c r="B132" s="88" t="b">
        <f t="shared" si="34"/>
        <v>1</v>
      </c>
      <c r="C132" s="88" t="b">
        <f t="shared" si="34"/>
        <v>1</v>
      </c>
      <c r="D132" s="87" t="s">
        <v>869</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hidden="1" x14ac:dyDescent="0.4">
      <c r="A133" s="1">
        <v>131</v>
      </c>
      <c r="B133" s="88" t="b">
        <f t="shared" si="34"/>
        <v>1</v>
      </c>
      <c r="C133" s="88" t="b">
        <f t="shared" si="34"/>
        <v>1</v>
      </c>
      <c r="D133" s="87" t="s">
        <v>870</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hidden="1" x14ac:dyDescent="0.4">
      <c r="A134" s="1">
        <v>132</v>
      </c>
      <c r="B134" s="88" t="b">
        <f t="shared" si="34"/>
        <v>1</v>
      </c>
      <c r="C134" s="88" t="b">
        <f t="shared" si="34"/>
        <v>1</v>
      </c>
      <c r="D134" s="87" t="s">
        <v>871</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hidden="1" x14ac:dyDescent="0.4">
      <c r="A135" s="1">
        <v>133</v>
      </c>
      <c r="B135" s="88" t="b">
        <f t="shared" si="34"/>
        <v>1</v>
      </c>
      <c r="C135" s="88" t="b">
        <f t="shared" si="34"/>
        <v>1</v>
      </c>
      <c r="D135" s="87" t="s">
        <v>872</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hidden="1" x14ac:dyDescent="0.4">
      <c r="A136" s="1">
        <v>134</v>
      </c>
      <c r="B136" s="88" t="b">
        <f t="shared" si="34"/>
        <v>1</v>
      </c>
      <c r="C136" s="88" t="b">
        <f t="shared" si="34"/>
        <v>1</v>
      </c>
      <c r="D136" s="87" t="s">
        <v>873</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hidden="1" x14ac:dyDescent="0.4">
      <c r="A137" s="1">
        <v>135</v>
      </c>
      <c r="B137" s="88" t="b">
        <f t="shared" si="34"/>
        <v>1</v>
      </c>
      <c r="C137" s="88" t="b">
        <f t="shared" si="34"/>
        <v>1</v>
      </c>
      <c r="D137" s="87" t="s">
        <v>874</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hidden="1" x14ac:dyDescent="0.4">
      <c r="A138" s="1">
        <v>136</v>
      </c>
      <c r="B138" s="88" t="b">
        <f t="shared" si="34"/>
        <v>1</v>
      </c>
      <c r="C138" s="88" t="b">
        <f t="shared" si="34"/>
        <v>1</v>
      </c>
      <c r="D138" s="87" t="s">
        <v>875</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hidden="1" x14ac:dyDescent="0.4">
      <c r="A139" s="1">
        <v>137</v>
      </c>
      <c r="B139" s="88" t="b">
        <f t="shared" si="34"/>
        <v>1</v>
      </c>
      <c r="C139" s="88" t="b">
        <f t="shared" si="34"/>
        <v>1</v>
      </c>
      <c r="D139" s="87" t="s">
        <v>876</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hidden="1" x14ac:dyDescent="0.4">
      <c r="A140" s="1">
        <v>138</v>
      </c>
      <c r="B140" s="88" t="b">
        <f t="shared" si="34"/>
        <v>1</v>
      </c>
      <c r="C140" s="88" t="b">
        <f t="shared" si="34"/>
        <v>1</v>
      </c>
      <c r="D140" s="87" t="s">
        <v>932</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hidden="1" x14ac:dyDescent="0.4">
      <c r="A141" s="1">
        <v>139</v>
      </c>
      <c r="B141" s="88" t="b">
        <f t="shared" ref="B141:C167" si="66">inp_Un&gt;=110</f>
        <v>1</v>
      </c>
      <c r="C141" s="88" t="b">
        <f t="shared" si="66"/>
        <v>1</v>
      </c>
      <c r="D141" s="87" t="s">
        <v>933</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hidden="1" x14ac:dyDescent="0.4">
      <c r="A142" s="1">
        <v>140</v>
      </c>
      <c r="B142" s="88" t="b">
        <f t="shared" si="66"/>
        <v>1</v>
      </c>
      <c r="C142" s="88" t="b">
        <f t="shared" si="66"/>
        <v>1</v>
      </c>
      <c r="D142" s="87" t="s">
        <v>877</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hidden="1" x14ac:dyDescent="0.4">
      <c r="A143" s="1">
        <v>141</v>
      </c>
      <c r="B143" s="88" t="b">
        <f t="shared" si="66"/>
        <v>1</v>
      </c>
      <c r="C143" s="88" t="b">
        <f t="shared" si="66"/>
        <v>1</v>
      </c>
      <c r="D143" s="87" t="s">
        <v>878</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hidden="1" x14ac:dyDescent="0.4">
      <c r="A144" s="1">
        <v>142</v>
      </c>
      <c r="B144" s="88" t="b">
        <f t="shared" si="66"/>
        <v>1</v>
      </c>
      <c r="C144" s="88" t="b">
        <f t="shared" si="66"/>
        <v>1</v>
      </c>
      <c r="D144" s="87" t="s">
        <v>917</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hidden="1" x14ac:dyDescent="0.4">
      <c r="A145" s="1">
        <v>143</v>
      </c>
      <c r="B145" s="88" t="b">
        <f t="shared" si="66"/>
        <v>1</v>
      </c>
      <c r="C145" s="88" t="b">
        <f t="shared" si="66"/>
        <v>1</v>
      </c>
      <c r="D145" s="87" t="s">
        <v>918</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hidden="1" x14ac:dyDescent="0.4">
      <c r="A146" s="1">
        <v>144</v>
      </c>
      <c r="B146" s="88" t="b">
        <f t="shared" si="66"/>
        <v>1</v>
      </c>
      <c r="C146" s="88" t="b">
        <f t="shared" si="66"/>
        <v>1</v>
      </c>
      <c r="D146" s="87" t="s">
        <v>879</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hidden="1" x14ac:dyDescent="0.4">
      <c r="A147" s="1">
        <v>145</v>
      </c>
      <c r="B147" s="88" t="b">
        <f t="shared" si="66"/>
        <v>1</v>
      </c>
      <c r="C147" s="88" t="b">
        <f t="shared" si="66"/>
        <v>1</v>
      </c>
      <c r="D147" s="87" t="s">
        <v>880</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hidden="1" x14ac:dyDescent="0.4">
      <c r="A148" s="1">
        <v>146</v>
      </c>
      <c r="B148" s="88" t="b">
        <f t="shared" si="66"/>
        <v>1</v>
      </c>
      <c r="C148" s="88" t="b">
        <f t="shared" si="66"/>
        <v>1</v>
      </c>
      <c r="D148" s="87" t="s">
        <v>881</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hidden="1" x14ac:dyDescent="0.4">
      <c r="A149" s="1">
        <v>147</v>
      </c>
      <c r="B149" s="88" t="b">
        <f t="shared" si="66"/>
        <v>1</v>
      </c>
      <c r="C149" s="88" t="b">
        <f t="shared" si="66"/>
        <v>1</v>
      </c>
      <c r="D149" s="87" t="s">
        <v>882</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hidden="1" x14ac:dyDescent="0.4">
      <c r="A150" s="1">
        <v>148</v>
      </c>
      <c r="B150" s="88" t="b">
        <f t="shared" si="66"/>
        <v>1</v>
      </c>
      <c r="C150" s="88" t="b">
        <f t="shared" si="66"/>
        <v>1</v>
      </c>
      <c r="D150" s="87" t="s">
        <v>883</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hidden="1" x14ac:dyDescent="0.4">
      <c r="A151" s="1">
        <v>149</v>
      </c>
      <c r="B151" s="88" t="b">
        <f t="shared" si="66"/>
        <v>1</v>
      </c>
      <c r="C151" s="88" t="b">
        <f t="shared" si="66"/>
        <v>1</v>
      </c>
      <c r="D151" s="87" t="s">
        <v>884</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459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hidden="1" x14ac:dyDescent="0.4">
      <c r="A152" s="1">
        <v>150</v>
      </c>
      <c r="B152" s="88" t="b">
        <f t="shared" si="66"/>
        <v>1</v>
      </c>
      <c r="C152" s="88" t="b">
        <f t="shared" si="66"/>
        <v>1</v>
      </c>
      <c r="D152" s="87" t="s">
        <v>885</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928</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hidden="1" x14ac:dyDescent="0.4">
      <c r="A153" s="1">
        <v>151</v>
      </c>
      <c r="B153" s="88" t="b">
        <f t="shared" si="66"/>
        <v>1</v>
      </c>
      <c r="C153" s="88" t="b">
        <f t="shared" si="66"/>
        <v>1</v>
      </c>
      <c r="D153" s="87" t="s">
        <v>886</v>
      </c>
      <c r="E153" s="89">
        <f t="shared" si="70"/>
        <v>1.0651315789473685</v>
      </c>
      <c r="F153" s="89">
        <v>1</v>
      </c>
      <c r="G153" s="89" t="s">
        <v>106</v>
      </c>
      <c r="H153" s="91" t="s">
        <v>220</v>
      </c>
      <c r="I153" s="90" t="s">
        <v>106</v>
      </c>
      <c r="J153" s="89">
        <v>0</v>
      </c>
      <c r="K153" s="89" t="s">
        <v>106</v>
      </c>
      <c r="L153" s="91">
        <f>inp_scr_max</f>
        <v>30</v>
      </c>
      <c r="M153" s="91">
        <f>inp_xr_max</f>
        <v>20</v>
      </c>
      <c r="N153" s="91" t="s">
        <v>928</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hidden="1" x14ac:dyDescent="0.4">
      <c r="A154" s="1">
        <v>152</v>
      </c>
      <c r="B154" s="88" t="b">
        <f t="shared" si="66"/>
        <v>1</v>
      </c>
      <c r="C154" s="88" t="b">
        <f t="shared" si="66"/>
        <v>1</v>
      </c>
      <c r="D154" s="87" t="s">
        <v>887</v>
      </c>
      <c r="E154" s="89">
        <f t="shared" si="70"/>
        <v>1.0651315789473685</v>
      </c>
      <c r="F154" s="89">
        <v>1</v>
      </c>
      <c r="G154" s="89" t="s">
        <v>106</v>
      </c>
      <c r="H154" s="91" t="s">
        <v>220</v>
      </c>
      <c r="I154" s="90" t="s">
        <v>106</v>
      </c>
      <c r="J154" s="89">
        <v>0</v>
      </c>
      <c r="K154" s="89" t="s">
        <v>106</v>
      </c>
      <c r="L154" s="91">
        <f>inp_scr_min</f>
        <v>10</v>
      </c>
      <c r="M154" s="91">
        <f t="shared" si="74"/>
        <v>10</v>
      </c>
      <c r="N154" s="91" t="s">
        <v>928</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hidden="1" x14ac:dyDescent="0.4">
      <c r="A155" s="1">
        <v>153</v>
      </c>
      <c r="B155" s="88" t="b">
        <f t="shared" si="66"/>
        <v>1</v>
      </c>
      <c r="C155" s="88" t="b">
        <f t="shared" si="66"/>
        <v>1</v>
      </c>
      <c r="D155" s="87" t="s">
        <v>888</v>
      </c>
      <c r="E155" s="89">
        <f t="shared" si="70"/>
        <v>1.0651315789473685</v>
      </c>
      <c r="F155" s="89">
        <v>1</v>
      </c>
      <c r="G155" s="89" t="s">
        <v>106</v>
      </c>
      <c r="H155" s="91" t="s">
        <v>220</v>
      </c>
      <c r="I155" s="90" t="s">
        <v>106</v>
      </c>
      <c r="J155" s="89">
        <v>0</v>
      </c>
      <c r="K155" s="89" t="s">
        <v>106</v>
      </c>
      <c r="L155" s="91">
        <f>inp_scr_max</f>
        <v>30</v>
      </c>
      <c r="M155" s="91">
        <f>inp_xr_max</f>
        <v>20</v>
      </c>
      <c r="N155" s="91" t="s">
        <v>928</v>
      </c>
      <c r="O155" s="109">
        <v>12</v>
      </c>
      <c r="P155" s="121" t="s">
        <v>119</v>
      </c>
      <c r="Q155" s="124">
        <v>0</v>
      </c>
      <c r="R155" s="124">
        <v>0.2</v>
      </c>
      <c r="S155" s="124">
        <v>0.45</v>
      </c>
      <c r="T155" s="87"/>
      <c r="U155" s="89"/>
      <c r="V155" s="238"/>
      <c r="W155" s="89"/>
      <c r="Z155" s="96"/>
      <c r="AA155" s="96"/>
      <c r="AD155" s="5"/>
      <c r="AE155" s="5"/>
      <c r="AH155" s="96"/>
      <c r="AI155" s="96"/>
    </row>
    <row r="156" spans="1:67" hidden="1" x14ac:dyDescent="0.4">
      <c r="A156" s="1">
        <v>154</v>
      </c>
      <c r="B156" s="88" t="b">
        <f t="shared" si="66"/>
        <v>1</v>
      </c>
      <c r="C156" s="88" t="b">
        <f t="shared" si="66"/>
        <v>1</v>
      </c>
      <c r="D156" s="87" t="s">
        <v>889</v>
      </c>
      <c r="E156" s="89">
        <f t="shared" si="70"/>
        <v>1.0651315789473685</v>
      </c>
      <c r="F156" s="89">
        <v>1</v>
      </c>
      <c r="G156" s="89" t="s">
        <v>106</v>
      </c>
      <c r="H156" s="91" t="s">
        <v>220</v>
      </c>
      <c r="I156" s="90" t="s">
        <v>106</v>
      </c>
      <c r="J156" s="89">
        <v>0</v>
      </c>
      <c r="K156" s="89" t="s">
        <v>106</v>
      </c>
      <c r="L156" s="91">
        <f>inp_scr_min</f>
        <v>10</v>
      </c>
      <c r="M156" s="91">
        <f t="shared" si="74"/>
        <v>10</v>
      </c>
      <c r="N156" s="91" t="s">
        <v>928</v>
      </c>
      <c r="O156" s="109">
        <v>12</v>
      </c>
      <c r="P156" s="121" t="s">
        <v>117</v>
      </c>
      <c r="Q156" s="124">
        <v>0</v>
      </c>
      <c r="R156" s="124">
        <v>0.2</v>
      </c>
      <c r="S156" s="124">
        <v>0.45</v>
      </c>
      <c r="T156" s="87"/>
      <c r="U156" s="89"/>
      <c r="V156" s="238"/>
      <c r="W156" s="89"/>
      <c r="Z156" s="96"/>
      <c r="AA156" s="96"/>
      <c r="AD156" s="5"/>
      <c r="AE156" s="5"/>
      <c r="AH156" s="96"/>
      <c r="AI156" s="96"/>
    </row>
    <row r="157" spans="1:67" hidden="1" x14ac:dyDescent="0.4">
      <c r="A157" s="1">
        <v>155</v>
      </c>
      <c r="B157" s="88" t="b">
        <f t="shared" si="66"/>
        <v>1</v>
      </c>
      <c r="C157" s="88" t="b">
        <f t="shared" si="66"/>
        <v>1</v>
      </c>
      <c r="D157" s="87" t="s">
        <v>890</v>
      </c>
      <c r="E157" s="89">
        <f t="shared" si="70"/>
        <v>1.0651315789473685</v>
      </c>
      <c r="F157" s="89">
        <v>1</v>
      </c>
      <c r="G157" s="89" t="s">
        <v>106</v>
      </c>
      <c r="H157" s="91" t="s">
        <v>220</v>
      </c>
      <c r="I157" s="90" t="s">
        <v>106</v>
      </c>
      <c r="J157" s="89">
        <v>0</v>
      </c>
      <c r="K157" s="89" t="s">
        <v>106</v>
      </c>
      <c r="L157" s="91">
        <f>inp_scr_max</f>
        <v>30</v>
      </c>
      <c r="M157" s="91">
        <f>inp_xr_max</f>
        <v>20</v>
      </c>
      <c r="N157" s="91" t="s">
        <v>928</v>
      </c>
      <c r="O157" s="109">
        <v>12</v>
      </c>
      <c r="P157" s="121" t="s">
        <v>117</v>
      </c>
      <c r="Q157" s="124">
        <v>0</v>
      </c>
      <c r="R157" s="124">
        <v>0.2</v>
      </c>
      <c r="S157" s="124">
        <v>0.45</v>
      </c>
      <c r="T157" s="87"/>
      <c r="U157" s="89"/>
      <c r="V157" s="238"/>
      <c r="W157" s="89"/>
      <c r="Z157" s="96"/>
      <c r="AA157" s="96"/>
      <c r="AD157" s="5"/>
      <c r="AE157" s="5"/>
      <c r="AH157" s="96"/>
      <c r="AI157" s="96"/>
    </row>
    <row r="158" spans="1:67" hidden="1" x14ac:dyDescent="0.4">
      <c r="A158" s="1">
        <v>156</v>
      </c>
      <c r="B158" s="88" t="b">
        <f t="shared" si="66"/>
        <v>1</v>
      </c>
      <c r="C158" s="88" t="b">
        <f t="shared" si="66"/>
        <v>1</v>
      </c>
      <c r="D158" s="87" t="s">
        <v>891</v>
      </c>
      <c r="E158" s="89">
        <f t="shared" si="70"/>
        <v>1.0651315789473685</v>
      </c>
      <c r="F158" s="89">
        <v>1</v>
      </c>
      <c r="G158" s="89" t="s">
        <v>106</v>
      </c>
      <c r="H158" s="91" t="s">
        <v>220</v>
      </c>
      <c r="I158" s="90" t="s">
        <v>106</v>
      </c>
      <c r="J158" s="89">
        <v>0</v>
      </c>
      <c r="K158" s="89" t="s">
        <v>106</v>
      </c>
      <c r="L158" s="91">
        <f>inp_scr_min</f>
        <v>10</v>
      </c>
      <c r="M158" s="91">
        <f t="shared" si="74"/>
        <v>10</v>
      </c>
      <c r="N158" s="91" t="s">
        <v>928</v>
      </c>
      <c r="O158" s="109">
        <v>12</v>
      </c>
      <c r="P158" s="121" t="s">
        <v>118</v>
      </c>
      <c r="Q158" s="124">
        <v>0</v>
      </c>
      <c r="R158" s="124">
        <v>0.2</v>
      </c>
      <c r="S158" s="124">
        <v>0.45</v>
      </c>
      <c r="T158" s="87"/>
      <c r="U158" s="89"/>
      <c r="V158" s="238"/>
      <c r="W158" s="89"/>
      <c r="Z158" s="96"/>
      <c r="AA158" s="96"/>
      <c r="AD158" s="5"/>
      <c r="AE158" s="5"/>
      <c r="AH158" s="96"/>
      <c r="AI158" s="96"/>
    </row>
    <row r="159" spans="1:67" hidden="1" x14ac:dyDescent="0.4">
      <c r="A159" s="1">
        <v>157</v>
      </c>
      <c r="B159" s="88" t="b">
        <f t="shared" si="66"/>
        <v>1</v>
      </c>
      <c r="C159" s="88" t="b">
        <f t="shared" si="66"/>
        <v>1</v>
      </c>
      <c r="D159" s="87" t="s">
        <v>892</v>
      </c>
      <c r="E159" s="89">
        <f t="shared" si="70"/>
        <v>1.0651315789473685</v>
      </c>
      <c r="F159" s="89">
        <v>1</v>
      </c>
      <c r="G159" s="89" t="s">
        <v>106</v>
      </c>
      <c r="H159" s="91" t="s">
        <v>220</v>
      </c>
      <c r="I159" s="90" t="s">
        <v>106</v>
      </c>
      <c r="J159" s="89">
        <v>0</v>
      </c>
      <c r="K159" s="89" t="s">
        <v>106</v>
      </c>
      <c r="L159" s="91">
        <f>inp_scr_max</f>
        <v>30</v>
      </c>
      <c r="M159" s="91">
        <f>inp_xr_max</f>
        <v>20</v>
      </c>
      <c r="N159" s="91" t="s">
        <v>928</v>
      </c>
      <c r="O159" s="109">
        <v>12</v>
      </c>
      <c r="P159" s="121" t="s">
        <v>118</v>
      </c>
      <c r="Q159" s="124">
        <v>0</v>
      </c>
      <c r="R159" s="124">
        <v>0.2</v>
      </c>
      <c r="S159" s="124">
        <v>0.45</v>
      </c>
      <c r="T159" s="87"/>
      <c r="U159" s="89"/>
      <c r="V159" s="238"/>
      <c r="W159" s="89"/>
      <c r="Z159" s="96"/>
      <c r="AA159" s="96"/>
      <c r="AD159" s="5"/>
      <c r="AE159" s="5"/>
      <c r="AH159" s="96"/>
      <c r="AI159" s="96"/>
    </row>
    <row r="160" spans="1:67" hidden="1" x14ac:dyDescent="0.4">
      <c r="A160" s="1">
        <v>158</v>
      </c>
      <c r="B160" s="88" t="b">
        <f t="shared" si="66"/>
        <v>1</v>
      </c>
      <c r="C160" s="88" t="b">
        <f t="shared" si="66"/>
        <v>1</v>
      </c>
      <c r="D160" s="87" t="s">
        <v>893</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hidden="1" x14ac:dyDescent="0.4">
      <c r="A161" s="1">
        <v>159</v>
      </c>
      <c r="B161" s="88" t="b">
        <f t="shared" si="66"/>
        <v>1</v>
      </c>
      <c r="C161" s="88" t="b">
        <f t="shared" si="66"/>
        <v>1</v>
      </c>
      <c r="D161" s="87" t="s">
        <v>894</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hidden="1" x14ac:dyDescent="0.4">
      <c r="A162" s="1">
        <v>160</v>
      </c>
      <c r="B162" s="88" t="b">
        <f t="shared" si="66"/>
        <v>1</v>
      </c>
      <c r="C162" s="88" t="b">
        <f t="shared" si="66"/>
        <v>1</v>
      </c>
      <c r="D162" s="87" t="s">
        <v>895</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38"/>
      <c r="W162" s="89"/>
      <c r="Z162" s="96"/>
      <c r="AA162" s="96"/>
      <c r="AD162" s="5"/>
      <c r="AE162" s="5"/>
      <c r="AH162" s="96"/>
      <c r="AI162" s="96"/>
    </row>
    <row r="163" spans="1:67" hidden="1" x14ac:dyDescent="0.4">
      <c r="A163" s="1">
        <v>161</v>
      </c>
      <c r="B163" s="88" t="b">
        <f t="shared" si="66"/>
        <v>1</v>
      </c>
      <c r="C163" s="88" t="b">
        <f t="shared" si="66"/>
        <v>1</v>
      </c>
      <c r="D163" s="87" t="s">
        <v>896</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hidden="1" x14ac:dyDescent="0.4">
      <c r="A164" s="1">
        <v>162</v>
      </c>
      <c r="B164" s="88" t="b">
        <f t="shared" si="66"/>
        <v>1</v>
      </c>
      <c r="C164" s="88" t="b">
        <f t="shared" si="66"/>
        <v>1</v>
      </c>
      <c r="D164" s="87" t="s">
        <v>897</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hidden="1" x14ac:dyDescent="0.4">
      <c r="A165" s="1">
        <v>163</v>
      </c>
      <c r="B165" s="88" t="b">
        <f t="shared" si="66"/>
        <v>1</v>
      </c>
      <c r="C165" s="88" t="b">
        <f t="shared" si="66"/>
        <v>1</v>
      </c>
      <c r="D165" s="87" t="s">
        <v>898</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hidden="1" x14ac:dyDescent="0.4">
      <c r="A166" s="1">
        <v>164</v>
      </c>
      <c r="B166" s="88" t="b">
        <f t="shared" si="66"/>
        <v>1</v>
      </c>
      <c r="C166" s="88" t="b">
        <f t="shared" si="66"/>
        <v>1</v>
      </c>
      <c r="D166" s="87" t="s">
        <v>899</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hidden="1" x14ac:dyDescent="0.4">
      <c r="A167" s="1">
        <v>165</v>
      </c>
      <c r="B167" s="88" t="b">
        <f t="shared" si="66"/>
        <v>1</v>
      </c>
      <c r="C167" s="88" t="b">
        <f t="shared" si="66"/>
        <v>1</v>
      </c>
      <c r="D167" s="87" t="s">
        <v>900</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hidden="1" x14ac:dyDescent="0.4">
      <c r="A168" s="1">
        <v>166</v>
      </c>
      <c r="B168" s="88" t="b">
        <f t="shared" ref="B168:C178" si="77">inp_Un&gt;=110</f>
        <v>1</v>
      </c>
      <c r="C168" s="88" t="b">
        <f t="shared" si="77"/>
        <v>1</v>
      </c>
      <c r="D168" s="87" t="s">
        <v>901</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hidden="1" x14ac:dyDescent="0.4">
      <c r="A169" s="1">
        <v>167</v>
      </c>
      <c r="B169" s="88" t="b">
        <f t="shared" si="77"/>
        <v>1</v>
      </c>
      <c r="C169" s="88" t="b">
        <f t="shared" si="77"/>
        <v>1</v>
      </c>
      <c r="D169" s="87" t="s">
        <v>902</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hidden="1" x14ac:dyDescent="0.4">
      <c r="A170" s="1">
        <v>168</v>
      </c>
      <c r="B170" s="88" t="b">
        <f t="shared" si="77"/>
        <v>1</v>
      </c>
      <c r="C170" s="88" t="b">
        <f t="shared" si="77"/>
        <v>1</v>
      </c>
      <c r="D170" s="87" t="s">
        <v>903</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hidden="1" x14ac:dyDescent="0.4">
      <c r="A171" s="1">
        <v>169</v>
      </c>
      <c r="B171" s="88" t="b">
        <f t="shared" si="77"/>
        <v>1</v>
      </c>
      <c r="C171" s="88" t="b">
        <f t="shared" si="77"/>
        <v>1</v>
      </c>
      <c r="D171" s="87" t="s">
        <v>904</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hidden="1" x14ac:dyDescent="0.4">
      <c r="A172" s="1">
        <v>170</v>
      </c>
      <c r="B172" s="88" t="b">
        <f t="shared" si="77"/>
        <v>1</v>
      </c>
      <c r="C172" s="88" t="b">
        <f t="shared" si="77"/>
        <v>1</v>
      </c>
      <c r="D172" s="87" t="s">
        <v>905</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hidden="1" x14ac:dyDescent="0.4">
      <c r="A173" s="1">
        <v>171</v>
      </c>
      <c r="B173" s="88" t="b">
        <f t="shared" si="77"/>
        <v>1</v>
      </c>
      <c r="C173" s="88" t="b">
        <f t="shared" si="77"/>
        <v>1</v>
      </c>
      <c r="D173" s="87" t="s">
        <v>906</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hidden="1" x14ac:dyDescent="0.4">
      <c r="A174" s="1">
        <v>172</v>
      </c>
      <c r="B174" s="88" t="b">
        <f t="shared" si="77"/>
        <v>1</v>
      </c>
      <c r="C174" s="88" t="b">
        <f t="shared" si="77"/>
        <v>1</v>
      </c>
      <c r="D174" s="87" t="s">
        <v>907</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hidden="1" x14ac:dyDescent="0.4">
      <c r="A175" s="1">
        <v>173</v>
      </c>
      <c r="B175" s="88" t="b">
        <f t="shared" si="77"/>
        <v>1</v>
      </c>
      <c r="C175" s="88" t="b">
        <f t="shared" si="77"/>
        <v>1</v>
      </c>
      <c r="D175" s="87" t="s">
        <v>908</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hidden="1" x14ac:dyDescent="0.4">
      <c r="A176" s="1">
        <v>174</v>
      </c>
      <c r="B176" s="88" t="b">
        <f t="shared" si="77"/>
        <v>1</v>
      </c>
      <c r="C176" s="88" t="b">
        <f t="shared" si="77"/>
        <v>1</v>
      </c>
      <c r="D176" s="87" t="s">
        <v>909</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hidden="1" x14ac:dyDescent="0.4">
      <c r="A177" s="1">
        <v>175</v>
      </c>
      <c r="B177" s="88" t="b">
        <f t="shared" si="77"/>
        <v>1</v>
      </c>
      <c r="C177" s="88" t="b">
        <f t="shared" si="77"/>
        <v>1</v>
      </c>
      <c r="D177" s="87" t="s">
        <v>924</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hidden="1" x14ac:dyDescent="0.4">
      <c r="A178" s="1">
        <v>176</v>
      </c>
      <c r="B178" s="88" t="b">
        <f t="shared" si="77"/>
        <v>1</v>
      </c>
      <c r="C178" s="88" t="b">
        <f t="shared" si="77"/>
        <v>1</v>
      </c>
      <c r="D178" s="87" t="s">
        <v>910</v>
      </c>
      <c r="E178" s="89">
        <f t="shared" si="70"/>
        <v>1.0651315789473685</v>
      </c>
      <c r="F178" s="89">
        <v>1</v>
      </c>
      <c r="G178" s="89" t="s">
        <v>106</v>
      </c>
      <c r="H178" s="91" t="s">
        <v>220</v>
      </c>
      <c r="I178" s="90" t="s">
        <v>22</v>
      </c>
      <c r="J178" s="89">
        <v>0</v>
      </c>
      <c r="K178" s="89" t="s">
        <v>106</v>
      </c>
      <c r="L178" s="91">
        <f>inp_scr_min</f>
        <v>10</v>
      </c>
      <c r="M178" s="91">
        <f t="shared" si="79"/>
        <v>10</v>
      </c>
      <c r="N178" s="91" t="s">
        <v>928</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filterColumn colId="3">
      <filters>
        <filter val="RfG_Ucontrol_Fault"/>
        <filter val="RfG_Ucontrol_Fault_FRTlimit"/>
        <filter val="RfG_Ucontrol_FRTsensitivity"/>
        <filter val="RfG_Ucontrol_FRTsensitivity-ramp"/>
        <filter val="RfG_Ucontrol_LFSM-O"/>
        <filter val="RfG_Ucontrol_Phasejump"/>
        <filter val="RfG_Ucontrol_rec"/>
        <filter val="RfG_Ucontrol_Scmax"/>
        <filter val="RfG_Ucontrol_Scmin"/>
        <filter val="RfG_Ucontrol_Scmin_Droop_2"/>
        <filter val="RfG_Ucontrol_Scmin_Droop_4"/>
        <filter val="RfG_Ucontrol_Scmin_Droop_7"/>
        <filter val="RfG_Ucontrol_SCR"/>
        <filter val="RfG_Ucontrol_Sctune"/>
      </filters>
    </filterColumn>
  </autoFilter>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742</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742</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1" t="s">
        <v>79</v>
      </c>
      <c r="T1" s="302"/>
      <c r="U1" s="302"/>
      <c r="V1" s="302"/>
      <c r="W1" s="310" t="s">
        <v>80</v>
      </c>
      <c r="X1" s="310"/>
      <c r="Y1" s="310"/>
      <c r="Z1" s="310"/>
      <c r="AA1" s="301" t="s">
        <v>81</v>
      </c>
      <c r="AB1" s="302"/>
      <c r="AC1" s="302"/>
      <c r="AD1" s="302"/>
      <c r="AE1" s="310" t="s">
        <v>82</v>
      </c>
      <c r="AF1" s="310"/>
      <c r="AG1" s="310"/>
      <c r="AH1" s="310"/>
      <c r="AI1" s="301" t="s">
        <v>83</v>
      </c>
      <c r="AJ1" s="302"/>
      <c r="AK1" s="302"/>
      <c r="AL1" s="302"/>
      <c r="AM1" s="310" t="s">
        <v>84</v>
      </c>
      <c r="AN1" s="310"/>
      <c r="AO1" s="310"/>
      <c r="AP1" s="310"/>
      <c r="AQ1" s="301" t="s">
        <v>85</v>
      </c>
      <c r="AR1" s="302"/>
      <c r="AS1" s="302"/>
      <c r="AT1" s="302"/>
      <c r="AU1" s="310" t="s">
        <v>86</v>
      </c>
      <c r="AV1" s="310"/>
      <c r="AW1" s="310"/>
      <c r="AX1" s="310"/>
      <c r="AY1" s="301" t="s">
        <v>87</v>
      </c>
      <c r="AZ1" s="302"/>
      <c r="BA1" s="302"/>
      <c r="BB1" s="302"/>
      <c r="BC1" s="310" t="s">
        <v>88</v>
      </c>
      <c r="BD1" s="310"/>
      <c r="BE1" s="310"/>
      <c r="BF1" s="310"/>
      <c r="BG1" s="301" t="s">
        <v>89</v>
      </c>
      <c r="BH1" s="302"/>
      <c r="BI1" s="302"/>
      <c r="BJ1" s="302"/>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911</v>
      </c>
      <c r="B3" s="113" t="s">
        <v>914</v>
      </c>
      <c r="C3" s="113" t="s">
        <v>915</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912</v>
      </c>
      <c r="B5" s="113" t="s">
        <v>913</v>
      </c>
      <c r="C5" s="113" t="s">
        <v>916</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738</v>
      </c>
    </row>
    <row r="59" spans="1:4" x14ac:dyDescent="0.4">
      <c r="A59" s="277">
        <v>58</v>
      </c>
      <c r="B59" s="277" t="s">
        <v>732</v>
      </c>
      <c r="C59" s="312"/>
      <c r="D59" s="279" t="s">
        <v>737</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736</v>
      </c>
      <c r="C110" s="312"/>
      <c r="D110" s="168" t="s">
        <v>735</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2026-01-21T12:58:48Z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