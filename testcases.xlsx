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80" documentId="11_75BCC0E3648942E3F9B3ABC73D174D462146C19F" xr6:coauthVersionLast="47" xr6:coauthVersionMax="47" xr10:uidLastSave="{1F1E3183-5B20-4AD9-A50C-B77EA513BEC9}"/>
  <bookViews>
    <workbookView xWindow="-14480" yWindow="-21710" windowWidth="51420" windowHeight="2110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4" i="6" l="1"/>
  <c r="M60" i="6" l="1"/>
  <c r="L60" i="6"/>
  <c r="J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<sst xmlns="http://schemas.openxmlformats.org/spreadsheetml/2006/main" count="4295" uniqueCount="934">
  <si>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</si>
  <si>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</si>
  <si>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</si>
  <si>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</si>
  <si>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</si>
  <si>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</si>
  <si>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</si>
  <si>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</si>
  <si>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</si>
  <si>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</si>
  <si>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</si>
  <si>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</si>
  <si>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</si>
  <si>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</si>
  <si>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</si>
  <si>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</si>
  <si>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</si>
  <si>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</si>
  <si>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</si>
  <si>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</si>
  <si>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</si>
  <si>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</si>
  <si>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</si>
  <si>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</si>
  <si>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</si>
  <si>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</si>
  <si>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</si>
  <si>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</si>
  <si>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</si>
  <si>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</si>
  <si>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</si>
  <si>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</si>
  <si>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</si>
  <si>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</si>
  <si>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</si>
  <si>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</si>
  <si>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</si>
  <si>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</si>
  <si>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</si>
  <si>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</si>
  <si>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</si>
  <si>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</si>
  <si>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</si>
  <si>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</si>
  <si>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</si>
  <si>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</si>
  <si>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</si>
  <si>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</si>
  <si>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</si>
  <si>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</si>
  <si>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</si>
  <si>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</si>
  <si>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</si>
  <si>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</si>
  <si>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</si>
  <si>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</si>
  <si>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</si>
  <si>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</si>
  <si>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</si>
  <si>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</si>
  <si>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</si>
  <si>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</si>
  <si>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</si>
  <si>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</si>
  <si>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</si>
  <si>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</si>
  <si>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</si>
  <si>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</si>
  <si>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</si>
  <si>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</si>
  <si>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</si>
  <si>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</si>
  <si>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</si>
  <si>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</si>
  <si>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</si>
  <si>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</si>
  <si>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</si>
  <si>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</si>
  <si>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</si>
  <si>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</si>
  <si>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</si>
  <si>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</si>
  <si>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</si>
  <si>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</si>
  <si>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</si>
  <si>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</si>
  <si>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</si>
  <si>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</si>
  <si>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</si>
  <si>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</si>
  <si>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</si>
  <si>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</si>
  <si>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</si>
  <si>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</si>
  <si>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</si>
  <si>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</si>
  <si>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</si>
  <si>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</si>
  <si>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</si>
  <si>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</si>
  <si>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</si>
  <si>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</si>
  <si>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</si>
  <si>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</si>
  <si>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</si>
  <si>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</si>
  <si>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</si>
  <si>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</si>
  <si>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</si>
  <si>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</si>
  <si>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</si>
  <si>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</si>
  <si>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</si>
  <si>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</si>
  <si>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</si>
  <si>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</si>
  <si>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</si>
  <si>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</si>
  <si>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</si>
  <si>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</si>
  <si>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</si>
  <si>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</si>
  <si>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</si>
  <si>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</si>
  <si>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</si>
  <si>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</si>
  <si>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</si>
  <si>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</si>
  <si>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</si>
  <si>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</si>
  <si>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</si>
  <si>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</si>
  <si>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</si>
  <si>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</si>
  <si>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</si>
  <si>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</si>
  <si>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</si>
  <si>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</si>
  <si>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</si>
  <si>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</si>
  <si>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</si>
  <si>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</si>
  <si>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</si>
  <si>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</si>
  <si>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</si>
  <si>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</si>
  <si>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</si>
  <si>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</si>
  <si>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</si>
  <si>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</si>
  <si>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</si>
  <si>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</si>
  <si>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</si>
  <si>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</si>
  <si>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</si>
  <si>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</si>
  <si>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</si>
  <si>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</si>
  <si>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</si>
  <si>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</si>
  <si>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</si>
  <si>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</si>
  <si>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</si>
  <si>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</si>
  <si>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</si>
  <si>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</si>
  <si>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</si>
  <si>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</si>
  <si>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</si>
  <si>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</si>
  <si>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</si>
  <si>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</si>
  <si>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</si>
  <si>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</si>
  <si>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</si>
  <si>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</si>
  <si>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</si>
  <si>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</si>
  <si>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</si>
  <si>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</si>
  <si>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</si>
  <si>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</si>
  <si>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</si>
  <si>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</si>
  <si>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</si>
  <si>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</si>
  <si>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</si>
  <si>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</si>
  <si>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</si>
  <si>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</si>
  <si>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</si>
  <si>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</si>
  <si>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</si>
  <si>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</si>
  <si>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</si>
  <si>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</si>
  <si>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</si>
  <si>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</si>
  <si>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</si>
  <si>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</si>
  <si>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</si>
  <si>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</si>
  <si>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</si>
  <si>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</si>
  <si>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</si>
  <si>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</si>
  <si>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</si>
  <si>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</si>
  <si>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</si>
  <si>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</si>
  <si>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</si>
  <si>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</si>
  <si>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</si>
  <si>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</si>
  <si>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</si>
  <si>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</si>
  <si>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</si>
  <si>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</si>
  <si>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</si>
  <si>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</si>
  <si>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</si>
  <si>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</si>
  <si>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</si>
  <si>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</si>
  <si>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</si>
  <si>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</si>
  <si>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</si>
  <si>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</si>
  <si>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</si>
  <si>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</si>
  <si>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</si>
  <si>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</si>
  <si>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</si>
  <si>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</si>
  <si>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</si>
  <si>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</si>
  <si>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</si>
  <si>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</si>
  <si>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</si>
  <si>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</si>
  <si>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</si>
  <si>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</si>
  <si>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</si>
  <si>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</si>
  <si>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</si>
  <si>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</si>
  <si>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</si>
  <si>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</si>
  <si>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</si>
  <si>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</si>
  <si>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</si>
  <si>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</si>
  <si>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</si>
  <si>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</si>
  <si>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</si>
  <si>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</si>
  <si>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</si>
  <si>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</si>
  <si>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</si>
  <si>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</si>
  <si>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</si>
  <si>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</si>
  <si>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</si>
  <si>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</si>
  <si>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</si>
  <si>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</si>
  <si>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</si>
  <si>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</si>
  <si>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</si>
  <si>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</si>
  <si>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</si>
  <si>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</si>
  <si>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</si>
  <si>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</si>
  <si>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</si>
  <si>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</si>
  <si>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</si>
  <si>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</si>
  <si>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</si>
  <si>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</si>
  <si>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</si>
  <si>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</si>
  <si>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</si>
  <si>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</si>
  <si>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</si>
  <si>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</si>
  <si>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</si>
  <si>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</si>
  <si>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</si>
  <si>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</si>
  <si>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</si>
  <si>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</si>
  <si>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</si>
  <si>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</si>
  <si>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</si>
  <si>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</si>
  <si>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</si>
  <si>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</si>
  <si>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</si>
  <si>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</si>
  <si>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</si>
  <si>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</si>
  <si>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</si>
  <si>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</si>
  <si>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</si>
  <si>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</si>
  <si>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</si>
  <si>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</si>
  <si>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</si>
  <si>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</si>
  <si>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</si>
  <si>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</si>
  <si>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</si>
  <si>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</si>
  <si>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</si>
  <si>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</si>
  <si>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</si>
  <si>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</si>
  <si>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</si>
  <si>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</si>
  <si>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</si>
  <si>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</si>
  <si>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</si>
  <si>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</si>
  <si>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</si>
  <si>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</si>
  <si>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</si>
  <si>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</si>
  <si>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</si>
  <si>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</si>
  <si>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</si>
  <si>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</si>
  <si>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</si>
  <si>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</si>
  <si>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</si>
  <si>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</si>
  <si>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</si>
  <si>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</si>
  <si>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</si>
  <si>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</si>
  <si>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</si>
  <si>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</si>
  <si>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</si>
  <si>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</si>
  <si>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</si>
  <si>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</si>
  <si>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</si>
  <si>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</si>
  <si>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</si>
  <si>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</si>
  <si>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</si>
  <si>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</si>
  <si>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</si>
  <si>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</si>
  <si>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</si>
  <si>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</si>
  <si>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</si>
  <si>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</si>
  <si>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</si>
  <si>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</si>
  <si>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</si>
  <si>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</si>
  <si>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</si>
  <si>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</si>
  <si>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</si>
  <si>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</si>
  <si>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</si>
  <si>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</si>
  <si>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</si>
  <si>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</si>
  <si>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</si>
  <si>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</si>
  <si>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</si>
  <si>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</si>
  <si>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</si>
  <si>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</si>
  <si>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</si>
  <si>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</si>
  <si>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</si>
  <si>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</si>
  <si>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</si>
  <si>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</si>
  <si>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</si>
  <si>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</si>
  <si>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</si>
  <si>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</si>
  <si>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</si>
  <si>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</si>
  <si>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</si>
  <si>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</si>
  <si>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</si>
  <si>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</si>
  <si>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</si>
  <si>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</si>
  <si>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</si>
  <si>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</si>
  <si>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</si>
  <si>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</si>
  <si>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</si>
  <si>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</si>
  <si>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</si>
  <si>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</si>
  <si>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</si>
  <si>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</si>
  <si>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</si>
  <si>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</si>
  <si>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</si>
  <si>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</si>
  <si>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</si>
  <si>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</si>
  <si>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</si>
  <si>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</si>
  <si>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</si>
  <si>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</si>
  <si>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</si>
  <si>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</si>
  <si>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</si>
  <si>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</si>
  <si>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</si>
  <si>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</si>
  <si>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</si>
  <si>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</si>
  <si>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</si>
  <si>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</si>
  <si>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</si>
  <si>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</si>
  <si>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</si>
  <si>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</si>
  <si>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</si>
  <si>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</si>
  <si>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</si>
  <si>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</si>
  <si>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</si>
  <si>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</si>
  <si>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</si>
  <si>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</si>
  <si>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</si>
  <si>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</si>
  <si>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</si>
  <si>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</si>
  <si>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</si>
  <si>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</si>
  <si>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</si>
  <si>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</si>
  <si>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</si>
  <si>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</si>
  <si>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</si>
  <si>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</si>
  <si>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</si>
  <si>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</si>
  <si>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</si>
  <si>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</si>
  <si>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</si>
  <si>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</si>
  <si>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</si>
  <si>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</si>
  <si>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</si>
  <si>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</si>
  <si>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</si>
  <si>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</si>
  <si>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</si>
  <si>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</si>
  <si>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</si>
  <si>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</si>
  <si>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</si>
  <si>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</si>
  <si>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</si>
  <si>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</si>
  <si>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</si>
  <si>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</si>
  <si>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</si>
  <si>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</si>
  <si>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</si>
  <si>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</si>
  <si>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</si>
  <si>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</si>
  <si>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</si>
  <si>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</si>
  <si>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</si>
  <si>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</si>
  <si>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</si>
  <si>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</si>
  <si>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</si>
  <si>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</si>
  <si>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</si>
  <si>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</si>
  <si>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</si>
  <si>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</si>
  <si>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</si>
  <si>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</si>
  <si>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</si>
  <si>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</si>
  <si>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</si>
  <si>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</si>
  <si>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</si>
  <si>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</si>
  <si>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</si>
  <si>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</si>
  <si>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</si>
  <si>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</si>
  <si>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</si>
  <si>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</si>
  <si>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</si>
  <si>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</si>
  <si>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</si>
  <si>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</si>
  <si>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</si>
  <si>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</si>
  <si>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</si>
  <si>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</si>
  <si>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</si>
  <si>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</si>
  <si>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</si>
  <si>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</si>
  <si>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</si>
  <si>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</si>
  <si>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</si>
  <si>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</si>
  <si>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</si>
  <si>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</si>
  <si>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</si>
  <si>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</si>
  <si>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</si>
  <si>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</si>
  <si>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</si>
  <si>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</si>
  <si>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</si>
  <si>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</si>
  <si>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</si>
  <si>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</si>
  <si>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</si>
  <si>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</si>
  <si>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</si>
  <si>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</si>
  <si>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</si>
  <si>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</si>
  <si>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</si>
  <si>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</si>
  <si>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</si>
  <si>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</si>
  <si>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</si>
  <si>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</si>
  <si>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</si>
  <si>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</si>
  <si>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</si>
  <si>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</si>
  <si>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</si>
  <si>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</si>
  <si>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</si>
  <si>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</si>
  <si>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</si>
  <si>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</si>
  <si>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</si>
  <si>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</si>
  <si>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</si>
  <si>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</si>
  <si>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</si>
  <si>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</si>
  <si>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</si>
  <si>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</si>
  <si>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</si>
  <si>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</si>
  <si>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</si>
  <si>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</si>
  <si>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</si>
  <si>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</si>
  <si>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</si>
  <si>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</si>
  <si>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</si>
  <si>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</si>
  <si>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</si>
  <si>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</si>
  <si>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</si>
  <si>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</si>
  <si>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</si>
  <si>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</si>
  <si>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</si>
  <si>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</si>
  <si>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</si>
  <si>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</si>
  <si>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</si>
  <si>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</si>
  <si>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</si>
  <si>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</si>
  <si>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</si>
  <si>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</si>
  <si>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</si>
  <si>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</si>
  <si>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</si>
  <si>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</si>
  <si>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</si>
  <si>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</si>
  <si>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</si>
  <si>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</si>
  <si>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</si>
  <si>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</si>
  <si>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</si>
  <si>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</si>
  <si>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</si>
  <si>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</si>
  <si>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</si>
  <si>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</si>
  <si>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</si>
  <si>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</si>
  <si>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</si>
  <si>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</si>
  <si>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</si>
  <si>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</si>
  <si>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</si>
  <si>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</si>
  <si>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</si>
  <si>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</si>
  <si>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</si>
  <si>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</si>
  <si>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</si>
  <si>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</si>
  <si>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</si>
  <si>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</si>
  <si>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</si>
  <si>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</si>
  <si>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</si>
  <si>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</si>
  <si>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</si>
  <si>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</si>
  <si>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</si>
  <si>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</si>
  <si>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</si>
  <si>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</si>
  <si>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</si>
  <si>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</si>
  <si>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</si>
  <si>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</si>
  <si>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</si>
  <si>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</si>
  <si>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</si>
  <si>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</si>
  <si>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</si>
  <si>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</si>
  <si>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</si>
  <si>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</si>
  <si>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</si>
  <si>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</si>
  <si>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</si>
  <si>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</si>
  <si>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</si>
  <si>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</si>
  <si>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</si>
  <si>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</si>
  <si>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</si>
  <si>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</si>
  <si>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</si>
  <si>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</si>
  <si>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</si>
  <si>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</si>
  <si>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</si>
  <si>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</si>
  <si>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</si>
  <si>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</si>
  <si>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</si>
  <si>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</si>
  <si>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</si>
  <si>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</si>
  <si>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</si>
  <si>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</si>
  <si>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</si>
  <si>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</si>
  <si>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</si>
  <si>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</si>
  <si>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</si>
  <si>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</si>
  <si>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</si>
  <si>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</si>
  <si>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</si>
  <si>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</si>
  <si>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</si>
  <si>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</si>
  <si>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</si>
  <si>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</si>
  <si>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</si>
  <si>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</si>
  <si>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</si>
  <si>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</si>
  <si>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</si>
  <si>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</si>
  <si>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</si>
  <si>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</si>
  <si>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</si>
  <si>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</si>
  <si>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</si>
  <si>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</si>
  <si>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</si>
  <si>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</si>
  <si>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</si>
  <si>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</si>
  <si>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</si>
  <si>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</si>
  <si>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</si>
  <si>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</si>
  <si>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</si>
  <si>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</si>
  <si>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</si>
  <si>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</si>
  <si>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</si>
  <si>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</si>
  <si>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</si>
  <si>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</si>
  <si>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</si>
  <si>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</si>
  <si>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</si>
  <si>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</si>
  <si>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</si>
  <si>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</si>
  <si>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</si>
  <si>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</si>
  <si>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</si>
  <si>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</si>
  <si>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</si>
  <si>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</si>
  <si>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</si>
  <si>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</si>
  <si>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</si>
  <si>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</si>
  <si>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</si>
  <si>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</si>
  <si>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</si>
  <si>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</si>
  <si>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</si>
  <si>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</si>
  <si>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</si>
  <si>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</si>
  <si>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</si>
  <si>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</si>
  <si>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</si>
  <si>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</si>
  <si>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</si>
  <si>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</si>
  <si>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</si>
  <si>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</si>
  <si>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</si>
  <si>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</si>
  <si>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</si>
  <si>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</si>
  <si>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</si>
  <si>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</si>
  <si>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</si>
  <si>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</si>
  <si>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</si>
  <si>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</si>
  <si>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</si>
  <si>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</si>
  <si>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</si>
  <si>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</si>
  <si>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</si>
  <si>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</si>
  <si>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</si>
  <si>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</si>
  <si>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</si>
  <si>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</si>
  <si>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</si>
  <si>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</si>
  <si>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</si>
  <si>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</si>
  <si>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</si>
  <si>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</si>
  <si>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</si>
  <si>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</si>
  <si>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</si>
  <si>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</si>
  <si>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</si>
  <si>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</si>
  <si>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</si>
  <si>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</si>
  <si>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</si>
  <si>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</si>
  <si>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</si>
  <si>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</si>
  <si>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</si>
  <si>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</si>
  <si>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</si>
  <si>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</si>
  <si>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</si>
  <si>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</si>
  <si>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</si>
  <si>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</si>
  <si>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</si>
  <si>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</si>
  <si>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</si>
  <si>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</si>
  <si>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</si>
  <si>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</si>
  <si>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</si>
  <si>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</si>
  <si>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</si>
  <si>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</si>
  <si>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</si>
  <si>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</si>
  <si>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</si>
  <si>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</si>
  <si>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</si>
  <si>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</si>
  <si>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</si>
  <si>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</si>
  <si>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</si>
  <si>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</si>
  <si>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</si>
  <si>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</si>
  <si>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</si>
  <si>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</si>
  <si>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</si>
  <si>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</si>
  <si>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</si>
  <si>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</si>
  <si>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</si>
  <si>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</si>
  <si>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</si>
  <si>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</si>
  <si>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</si>
  <si>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</si>
  <si>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</si>
  <si>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</si>
  <si>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</si>
  <si>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</si>
  <si>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</si>
  <si>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</si>
  <si>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</si>
  <si>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</si>
  <si>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</si>
  <si>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</si>
  <si>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</si>
  <si>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</si>
  <si>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</si>
  <si>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</si>
  <si>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</si>
  <si>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</si>
  <si>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</si>
  <si>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</si>
  <si>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</si>
  <si>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</si>
  <si>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</si>
  <si>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</si>
  <si>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</si>
  <si>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</si>
  <si>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</si>
  <si>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</si>
  <si>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</si>
  <si>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</si>
  <si>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</si>
  <si>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</si>
  <si>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</si>
  <si>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</si>
  <si>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</si>
  <si>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</si>
  <si>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</si>
  <si>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</si>
  <si>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</si>
  <si>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</si>
  <si>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</si>
  <si>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</si>
  <si>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</si>
  <si>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</si>
  <si>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</si>
  <si>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</si>
  <si>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</si>
  <si>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</si>
  <si>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</si>
  <si>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</si>
  <si>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</si>
  <si>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</si>
  <si>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</si>
  <si>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</si>
  <si>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</si>
  <si>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</si>
  <si>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</si>
  <si>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</si>
  <si>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</si>
  <si>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</si>
  <si>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</si>
  <si>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</si>
  <si>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</si>
  <si>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</si>
  <si>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</si>
  <si>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</si>
  <si>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</si>
  <si>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</si>
  <si>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</si>
  <si>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</si>
  <si>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</si>
  <si>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</si>
  <si>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</si>
  <si>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</si>
  <si>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</si>
  <si>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</si>
  <si>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</si>
  <si>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</si>
  <si>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</si>
  <si>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</si>
  <si>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</si>
  <si>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</si>
  <si>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</si>
  <si>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</si>
  <si>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</si>
  <si>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</si>
  <si>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</si>
  <si>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</si>
  <si>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</si>
  <si>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</si>
  <si>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</si>
  <si>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</si>
  <si>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</si>
  <si>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</si>
  <si>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</si>
  <si>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</si>
  <si>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</si>
  <si>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</si>
  <si>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</si>
  <si>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</si>
  <si>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</si>
  <si>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</si>
  <si>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</si>
  <si>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</si>
  <si>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</si>
  <si>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</si>
  <si>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</si>
  <si>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</si>
  <si>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</si>
  <si>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</si>
  <si>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</si>
  <si>
    <t>Default grounding setting for the Main Transformer</t>
  </si>
  <si>
    <t>Main Transformer Grounded</t>
  </si>
  <si>
    <t>MtrfrGnd0</t>
  </si>
  <si>
    <t>Grounded</t>
  </si>
  <si>
    <t>RfG_SystemProtect_Q</t>
  </si>
  <si>
    <t>RfG_SystemProtect_QU</t>
  </si>
  <si>
    <t>RfG_SystemProtect+fault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</si>
</sst>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E33" sqref="E33"/>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928</v>
      </c>
      <c r="B19" s="283" t="b">
        <v>0</v>
      </c>
      <c r="C19" s="292" t="s">
        <v>11</v>
      </c>
      <c r="E19" s="293" t="s">
        <v>927</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topLeftCell="H1" zoomScaleNormal="100" workbookViewId="0">
      <pane ySplit="2" topLeftCell="A29" activePane="bottomLeft" state="frozen"/>
      <selection pane="bottomLeft" activeCell="AD62" sqref="AD62"/>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929</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925</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924</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931</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932</v>
      </c>
      <c r="E60" s="89">
        <f t="shared" si="18"/>
        <v>1.0651315789473685</v>
      </c>
      <c r="F60" s="89">
        <v>1</v>
      </c>
      <c r="G60" s="89" t="s">
        <v>106</v>
      </c>
      <c r="H60" s="91" t="s">
        <v>220</v>
      </c>
      <c r="I60" s="90" t="s">
        <v>111</v>
      </c>
      <c r="J60" s="89">
        <f t="shared" si="20"/>
        <v>0</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933</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922</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3">inp_Un&gt;=110</f>
        <v>1</v>
      </c>
      <c r="C70" s="88" t="b">
        <f t="shared" si="23"/>
        <v>1</v>
      </c>
      <c r="D70" s="87" t="s">
        <v>923</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3"/>
        <v>1</v>
      </c>
      <c r="C71" s="88" t="b">
        <f t="shared" si="23"/>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4">inp_scr_min</f>
        <v>10</v>
      </c>
      <c r="M72" s="21">
        <f t="shared" ref="M72:M93" si="25">inp_xr_min</f>
        <v>10</v>
      </c>
      <c r="N72" s="21" t="s">
        <v>106</v>
      </c>
      <c r="O72" s="22">
        <v>12</v>
      </c>
      <c r="P72" s="96" t="s">
        <v>116</v>
      </c>
      <c r="Q72" s="96">
        <v>0</v>
      </c>
      <c r="R72" s="98">
        <f>sel_ures</f>
        <v>0</v>
      </c>
      <c r="S72" s="96">
        <f t="shared" ref="S72" si="26">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4"/>
        <v>10</v>
      </c>
      <c r="M73" s="21">
        <f t="shared" si="25"/>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4"/>
        <v>10</v>
      </c>
      <c r="M74" s="21">
        <f t="shared" si="25"/>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4"/>
        <v>10</v>
      </c>
      <c r="M75" s="21">
        <f t="shared" si="25"/>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4"/>
        <v>10</v>
      </c>
      <c r="M76" s="21">
        <f t="shared" si="25"/>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4"/>
        <v>10</v>
      </c>
      <c r="M77" s="21">
        <f t="shared" si="25"/>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4"/>
        <v>10</v>
      </c>
      <c r="M78" s="21">
        <f t="shared" si="25"/>
        <v>10</v>
      </c>
      <c r="N78" s="21" t="s">
        <v>106</v>
      </c>
      <c r="O78" s="22">
        <v>12</v>
      </c>
      <c r="P78" s="96" t="s">
        <v>117</v>
      </c>
      <c r="Q78" s="96">
        <v>0</v>
      </c>
      <c r="R78" s="98">
        <f>sel_ures</f>
        <v>0</v>
      </c>
      <c r="S78" s="96">
        <f t="shared" ref="S78" si="27">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4"/>
        <v>10</v>
      </c>
      <c r="M79" s="21">
        <f t="shared" si="25"/>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4"/>
        <v>10</v>
      </c>
      <c r="M80" s="21">
        <f t="shared" si="25"/>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4"/>
        <v>10</v>
      </c>
      <c r="M81" s="21">
        <f t="shared" si="25"/>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4"/>
        <v>10</v>
      </c>
      <c r="M82" s="21">
        <f t="shared" si="25"/>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4"/>
        <v>10</v>
      </c>
      <c r="M83" s="21">
        <f t="shared" si="25"/>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4"/>
        <v>10</v>
      </c>
      <c r="M84" s="21">
        <f t="shared" si="25"/>
        <v>10</v>
      </c>
      <c r="N84" s="21" t="s">
        <v>106</v>
      </c>
      <c r="O84" s="22">
        <v>12</v>
      </c>
      <c r="P84" s="96" t="s">
        <v>118</v>
      </c>
      <c r="Q84" s="96">
        <v>0</v>
      </c>
      <c r="R84" s="98">
        <f>sel_ures</f>
        <v>0</v>
      </c>
      <c r="S84" s="96">
        <f t="shared" ref="S84" si="28">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4"/>
        <v>10</v>
      </c>
      <c r="M85" s="21">
        <f t="shared" si="25"/>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4"/>
        <v>10</v>
      </c>
      <c r="M86" s="21">
        <f t="shared" si="25"/>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4"/>
        <v>10</v>
      </c>
      <c r="M87" s="21">
        <f t="shared" si="25"/>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4"/>
        <v>10</v>
      </c>
      <c r="M88" s="21">
        <f t="shared" si="25"/>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4"/>
        <v>10</v>
      </c>
      <c r="M89" s="21">
        <f t="shared" si="25"/>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29">inp_Un&gt;=110</f>
        <v>1</v>
      </c>
      <c r="C91" s="88" t="b">
        <f t="shared" si="29"/>
        <v>1</v>
      </c>
      <c r="D91" s="87" t="s">
        <v>827</v>
      </c>
      <c r="E91" s="89">
        <f t="shared" si="18"/>
        <v>1.0651315789473685</v>
      </c>
      <c r="F91" s="89">
        <v>1</v>
      </c>
      <c r="G91" s="89" t="s">
        <v>106</v>
      </c>
      <c r="H91" s="91" t="s">
        <v>220</v>
      </c>
      <c r="I91" s="90" t="s">
        <v>106</v>
      </c>
      <c r="J91" s="89">
        <f t="shared" si="20"/>
        <v>0</v>
      </c>
      <c r="K91" s="89" t="s">
        <v>106</v>
      </c>
      <c r="L91" s="91">
        <f t="shared" si="24"/>
        <v>10</v>
      </c>
      <c r="M91" s="91">
        <f t="shared" si="25"/>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29"/>
        <v>1</v>
      </c>
      <c r="C92" s="88" t="b">
        <f t="shared" si="29"/>
        <v>1</v>
      </c>
      <c r="D92" s="87" t="s">
        <v>828</v>
      </c>
      <c r="E92" s="89">
        <f t="shared" si="18"/>
        <v>1.0651315789473685</v>
      </c>
      <c r="F92" s="89">
        <v>1</v>
      </c>
      <c r="G92" s="89" t="s">
        <v>106</v>
      </c>
      <c r="H92" s="91" t="s">
        <v>220</v>
      </c>
      <c r="I92" s="90" t="s">
        <v>106</v>
      </c>
      <c r="J92" s="89">
        <f t="shared" si="20"/>
        <v>0</v>
      </c>
      <c r="K92" s="89" t="s">
        <v>106</v>
      </c>
      <c r="L92" s="91">
        <f t="shared" si="24"/>
        <v>10</v>
      </c>
      <c r="M92" s="91">
        <f t="shared" si="25"/>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29"/>
        <v>1</v>
      </c>
      <c r="C93" s="88" t="b">
        <f t="shared" si="29"/>
        <v>1</v>
      </c>
      <c r="D93" s="87" t="s">
        <v>829</v>
      </c>
      <c r="E93" s="89">
        <f t="shared" si="18"/>
        <v>1.0651315789473685</v>
      </c>
      <c r="F93" s="89">
        <v>1</v>
      </c>
      <c r="G93" s="89" t="s">
        <v>106</v>
      </c>
      <c r="H93" s="91" t="s">
        <v>220</v>
      </c>
      <c r="I93" s="90" t="s">
        <v>106</v>
      </c>
      <c r="J93" s="89">
        <f t="shared" si="20"/>
        <v>0</v>
      </c>
      <c r="K93" s="89" t="s">
        <v>106</v>
      </c>
      <c r="L93" s="91">
        <f t="shared" si="24"/>
        <v>10</v>
      </c>
      <c r="M93" s="91">
        <f t="shared" si="25"/>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29"/>
        <v>1</v>
      </c>
      <c r="C94" s="88" t="b">
        <f t="shared" si="29"/>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29"/>
        <v>1</v>
      </c>
      <c r="C95" s="88" t="b">
        <f t="shared" si="29"/>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29"/>
        <v>1</v>
      </c>
      <c r="C96" s="88" t="b">
        <f t="shared" si="29"/>
        <v>1</v>
      </c>
      <c r="D96" s="87" t="s">
        <v>834</v>
      </c>
      <c r="E96" s="89">
        <f t="shared" ref="E96:E99" si="30">inp_Uc/inp_Un</f>
        <v>1.0651315789473685</v>
      </c>
      <c r="F96" s="89">
        <v>0.5</v>
      </c>
      <c r="G96" s="89" t="s">
        <v>106</v>
      </c>
      <c r="H96" s="91" t="s">
        <v>220</v>
      </c>
      <c r="I96" s="90" t="s">
        <v>106</v>
      </c>
      <c r="J96" s="89">
        <f t="shared" si="20"/>
        <v>0</v>
      </c>
      <c r="K96" s="89" t="s">
        <v>106</v>
      </c>
      <c r="L96" s="91">
        <f t="shared" ref="L96:L99" si="31">inp_scr_min</f>
        <v>10</v>
      </c>
      <c r="M96" s="91">
        <f t="shared" ref="M96:M99" si="32">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29"/>
        <v>1</v>
      </c>
      <c r="C97" s="88" t="b">
        <f t="shared" si="29"/>
        <v>1</v>
      </c>
      <c r="D97" s="87" t="s">
        <v>835</v>
      </c>
      <c r="E97" s="89">
        <f t="shared" si="30"/>
        <v>1.0651315789473685</v>
      </c>
      <c r="F97" s="89">
        <v>0.7</v>
      </c>
      <c r="G97" s="89" t="s">
        <v>106</v>
      </c>
      <c r="H97" s="91" t="s">
        <v>221</v>
      </c>
      <c r="I97" s="90" t="s">
        <v>106</v>
      </c>
      <c r="J97" s="89">
        <f t="shared" si="20"/>
        <v>0</v>
      </c>
      <c r="K97" s="89" t="s">
        <v>106</v>
      </c>
      <c r="L97" s="91">
        <f t="shared" si="31"/>
        <v>10</v>
      </c>
      <c r="M97" s="91">
        <f t="shared" si="32"/>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29"/>
        <v>1</v>
      </c>
      <c r="C98" s="88" t="b">
        <f t="shared" si="29"/>
        <v>1</v>
      </c>
      <c r="D98" s="87" t="s">
        <v>836</v>
      </c>
      <c r="E98" s="89">
        <f t="shared" si="30"/>
        <v>1.0651315789473685</v>
      </c>
      <c r="F98" s="89">
        <v>0.7</v>
      </c>
      <c r="G98" s="89" t="s">
        <v>106</v>
      </c>
      <c r="H98" s="90" t="s">
        <v>221</v>
      </c>
      <c r="I98" s="90" t="s">
        <v>106</v>
      </c>
      <c r="J98" s="89">
        <f t="shared" si="20"/>
        <v>0</v>
      </c>
      <c r="K98" s="89" t="s">
        <v>106</v>
      </c>
      <c r="L98" s="91">
        <f t="shared" si="31"/>
        <v>10</v>
      </c>
      <c r="M98" s="91">
        <f t="shared" si="32"/>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29"/>
        <v>1</v>
      </c>
      <c r="C99" s="88" t="b">
        <f t="shared" si="29"/>
        <v>1</v>
      </c>
      <c r="D99" s="87" t="s">
        <v>837</v>
      </c>
      <c r="E99" s="89">
        <f t="shared" si="30"/>
        <v>1.0651315789473685</v>
      </c>
      <c r="F99" s="89">
        <v>0.5</v>
      </c>
      <c r="G99" s="89" t="s">
        <v>106</v>
      </c>
      <c r="H99" s="90" t="s">
        <v>220</v>
      </c>
      <c r="I99" s="90" t="s">
        <v>106</v>
      </c>
      <c r="J99" s="89">
        <f t="shared" si="20"/>
        <v>0</v>
      </c>
      <c r="K99" s="89" t="s">
        <v>106</v>
      </c>
      <c r="L99" s="91">
        <f t="shared" si="31"/>
        <v>10</v>
      </c>
      <c r="M99" s="91">
        <f t="shared" si="32"/>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3">inp_Un&gt;=110</f>
        <v>1</v>
      </c>
      <c r="C100" s="88" t="b">
        <f t="shared" si="33"/>
        <v>1</v>
      </c>
      <c r="D100" s="87" t="s">
        <v>838</v>
      </c>
      <c r="E100" s="89">
        <f t="shared" ref="E100:E130" si="34">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3"/>
        <v>1</v>
      </c>
      <c r="C101" s="88" t="b">
        <f t="shared" si="33"/>
        <v>1</v>
      </c>
      <c r="D101" s="87" t="s">
        <v>839</v>
      </c>
      <c r="E101" s="89">
        <f t="shared" si="34"/>
        <v>1.0651315789473685</v>
      </c>
      <c r="F101" s="89">
        <v>0.7</v>
      </c>
      <c r="G101" s="89" t="s">
        <v>106</v>
      </c>
      <c r="H101" s="91" t="s">
        <v>220</v>
      </c>
      <c r="I101" s="90" t="s">
        <v>111</v>
      </c>
      <c r="J101" s="89">
        <f t="shared" ref="J101:J109" si="35">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3"/>
        <v>1</v>
      </c>
      <c r="C102" s="88" t="b">
        <f t="shared" si="33"/>
        <v>1</v>
      </c>
      <c r="D102" s="87" t="s">
        <v>840</v>
      </c>
      <c r="E102" s="89">
        <f t="shared" si="34"/>
        <v>1.0651315789473685</v>
      </c>
      <c r="F102" s="89">
        <v>0.7</v>
      </c>
      <c r="G102" s="89" t="s">
        <v>106</v>
      </c>
      <c r="H102" s="91" t="s">
        <v>220</v>
      </c>
      <c r="I102" s="90" t="s">
        <v>111</v>
      </c>
      <c r="J102" s="89">
        <f t="shared" si="35"/>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3"/>
        <v>1</v>
      </c>
      <c r="C103" s="88" t="b">
        <f t="shared" si="33"/>
        <v>1</v>
      </c>
      <c r="D103" s="87" t="s">
        <v>841</v>
      </c>
      <c r="E103" s="89">
        <f t="shared" si="34"/>
        <v>1.0651315789473685</v>
      </c>
      <c r="F103" s="89">
        <v>0.7</v>
      </c>
      <c r="G103" s="89" t="s">
        <v>106</v>
      </c>
      <c r="H103" s="91" t="s">
        <v>220</v>
      </c>
      <c r="I103" s="90" t="s">
        <v>111</v>
      </c>
      <c r="J103" s="89">
        <f t="shared" si="35"/>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3"/>
        <v>1</v>
      </c>
      <c r="C104" s="88" t="b">
        <f t="shared" si="33"/>
        <v>1</v>
      </c>
      <c r="D104" s="87" t="s">
        <v>842</v>
      </c>
      <c r="E104" s="89">
        <f t="shared" si="34"/>
        <v>1.0651315789473685</v>
      </c>
      <c r="F104" s="89">
        <v>0.7</v>
      </c>
      <c r="G104" s="89" t="s">
        <v>106</v>
      </c>
      <c r="H104" s="91" t="s">
        <v>220</v>
      </c>
      <c r="I104" s="90" t="s">
        <v>111</v>
      </c>
      <c r="J104" s="89">
        <f t="shared" si="35"/>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3"/>
        <v>1</v>
      </c>
      <c r="C105" s="88" t="b">
        <f t="shared" si="33"/>
        <v>1</v>
      </c>
      <c r="D105" s="87" t="s">
        <v>843</v>
      </c>
      <c r="E105" s="89">
        <f t="shared" si="34"/>
        <v>1.0651315789473685</v>
      </c>
      <c r="F105" s="89">
        <v>0.7</v>
      </c>
      <c r="G105" s="89" t="s">
        <v>106</v>
      </c>
      <c r="H105" s="91" t="s">
        <v>220</v>
      </c>
      <c r="I105" s="90" t="s">
        <v>111</v>
      </c>
      <c r="J105" s="89">
        <f t="shared" si="35"/>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3"/>
        <v>1</v>
      </c>
      <c r="C106" s="88" t="b">
        <f t="shared" si="33"/>
        <v>1</v>
      </c>
      <c r="D106" s="87" t="s">
        <v>844</v>
      </c>
      <c r="E106" s="89">
        <f t="shared" si="34"/>
        <v>1.0651315789473685</v>
      </c>
      <c r="F106" s="89">
        <v>1</v>
      </c>
      <c r="G106" s="89" t="s">
        <v>106</v>
      </c>
      <c r="H106" s="91" t="s">
        <v>220</v>
      </c>
      <c r="I106" s="90" t="s">
        <v>111</v>
      </c>
      <c r="J106" s="89">
        <f t="shared" si="35"/>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3"/>
        <v>1</v>
      </c>
      <c r="C107" s="88" t="b">
        <f t="shared" si="33"/>
        <v>1</v>
      </c>
      <c r="D107" s="87" t="s">
        <v>845</v>
      </c>
      <c r="E107" s="89">
        <f t="shared" si="34"/>
        <v>1.0651315789473685</v>
      </c>
      <c r="F107" s="89">
        <v>1</v>
      </c>
      <c r="G107" s="89" t="s">
        <v>106</v>
      </c>
      <c r="H107" s="91" t="s">
        <v>220</v>
      </c>
      <c r="I107" s="90" t="s">
        <v>111</v>
      </c>
      <c r="J107" s="89">
        <f t="shared" si="35"/>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3"/>
        <v>1</v>
      </c>
      <c r="C108" s="88" t="b">
        <f t="shared" si="33"/>
        <v>1</v>
      </c>
      <c r="D108" s="87" t="s">
        <v>846</v>
      </c>
      <c r="E108" s="89">
        <f t="shared" si="34"/>
        <v>1.0651315789473685</v>
      </c>
      <c r="F108" s="89">
        <v>1</v>
      </c>
      <c r="G108" s="89" t="s">
        <v>106</v>
      </c>
      <c r="H108" s="91" t="s">
        <v>220</v>
      </c>
      <c r="I108" s="90" t="s">
        <v>111</v>
      </c>
      <c r="J108" s="89">
        <f t="shared" si="35"/>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3"/>
        <v>1</v>
      </c>
      <c r="C109" s="88" t="b">
        <f t="shared" si="33"/>
        <v>1</v>
      </c>
      <c r="D109" s="87" t="s">
        <v>847</v>
      </c>
      <c r="E109" s="89">
        <f t="shared" si="34"/>
        <v>1.0651315789473685</v>
      </c>
      <c r="F109" s="89">
        <v>1</v>
      </c>
      <c r="G109" s="89" t="s">
        <v>106</v>
      </c>
      <c r="H109" s="91" t="s">
        <v>220</v>
      </c>
      <c r="I109" s="91" t="s">
        <v>111</v>
      </c>
      <c r="J109" s="89">
        <f t="shared" si="35"/>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3"/>
        <v>1</v>
      </c>
      <c r="C110" s="88" t="b">
        <f t="shared" si="33"/>
        <v>1</v>
      </c>
      <c r="D110" s="87" t="s">
        <v>848</v>
      </c>
      <c r="E110" s="89">
        <f t="shared" si="34"/>
        <v>1.0651315789473685</v>
      </c>
      <c r="F110" s="89">
        <v>1</v>
      </c>
      <c r="G110" s="89">
        <v>1</v>
      </c>
      <c r="H110" s="91" t="s">
        <v>220</v>
      </c>
      <c r="I110" s="90" t="s">
        <v>106</v>
      </c>
      <c r="J110" s="89">
        <f t="shared" ref="J110:J116" si="36">IF(inp_default="Q(U)",E110,IF(inp_default="PF",1,0))</f>
        <v>0</v>
      </c>
      <c r="K110" s="89" t="s">
        <v>106</v>
      </c>
      <c r="L110" s="91">
        <f t="shared" ref="L110:L111" si="37">inp_scr_min</f>
        <v>10</v>
      </c>
      <c r="M110" s="91">
        <f t="shared" ref="M110:M111" si="38">inp_xr_min</f>
        <v>10</v>
      </c>
      <c r="N110" s="91" t="s">
        <v>106</v>
      </c>
      <c r="O110" s="92">
        <v>20</v>
      </c>
      <c r="P110" s="97" t="s">
        <v>913</v>
      </c>
      <c r="Q110" s="97">
        <v>1</v>
      </c>
      <c r="R110" s="97">
        <v>0.75</v>
      </c>
      <c r="S110" s="97"/>
      <c r="T110" s="89" t="s">
        <v>913</v>
      </c>
      <c r="U110" s="89">
        <v>5</v>
      </c>
      <c r="V110" s="89">
        <v>0.25</v>
      </c>
      <c r="W110" s="89"/>
      <c r="X110" s="97" t="s">
        <v>913</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3"/>
        <v>1</v>
      </c>
      <c r="C111" s="88" t="b">
        <f t="shared" si="33"/>
        <v>1</v>
      </c>
      <c r="D111" s="87" t="s">
        <v>921</v>
      </c>
      <c r="E111" s="89">
        <f t="shared" si="34"/>
        <v>1.0651315789473685</v>
      </c>
      <c r="F111" s="89">
        <v>0.5</v>
      </c>
      <c r="G111" s="89">
        <v>0.5</v>
      </c>
      <c r="H111" s="91" t="s">
        <v>220</v>
      </c>
      <c r="I111" s="90" t="s">
        <v>106</v>
      </c>
      <c r="J111" s="89">
        <f t="shared" si="36"/>
        <v>0</v>
      </c>
      <c r="K111" s="89" t="s">
        <v>106</v>
      </c>
      <c r="L111" s="91">
        <f t="shared" si="37"/>
        <v>10</v>
      </c>
      <c r="M111" s="91">
        <f t="shared" si="38"/>
        <v>10</v>
      </c>
      <c r="N111" s="91" t="s">
        <v>106</v>
      </c>
      <c r="O111" s="92">
        <v>175</v>
      </c>
      <c r="P111" s="97" t="s">
        <v>107</v>
      </c>
      <c r="Q111" s="97">
        <v>0</v>
      </c>
      <c r="R111" s="97">
        <v>1</v>
      </c>
      <c r="S111" s="97">
        <v>0</v>
      </c>
      <c r="T111" s="89" t="s">
        <v>913</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3"/>
        <v>1</v>
      </c>
      <c r="C112" s="88" t="b">
        <f t="shared" si="33"/>
        <v>1</v>
      </c>
      <c r="D112" s="87" t="s">
        <v>849</v>
      </c>
      <c r="E112" s="89">
        <f t="shared" ref="E112" si="39">inp_Uc/inp_Un</f>
        <v>1.0651315789473685</v>
      </c>
      <c r="F112" s="89">
        <v>1</v>
      </c>
      <c r="G112" s="89" t="s">
        <v>106</v>
      </c>
      <c r="H112" s="91" t="s">
        <v>220</v>
      </c>
      <c r="I112" s="90" t="s">
        <v>106</v>
      </c>
      <c r="J112" s="89">
        <f t="shared" si="36"/>
        <v>0</v>
      </c>
      <c r="K112" s="89" t="s">
        <v>106</v>
      </c>
      <c r="L112" s="91">
        <f t="shared" ref="L112" si="40">inp_scr_min</f>
        <v>10</v>
      </c>
      <c r="M112" s="91">
        <f t="shared" ref="M112" si="41">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3"/>
        <v>1</v>
      </c>
      <c r="C113" s="88" t="b">
        <f t="shared" si="33"/>
        <v>1</v>
      </c>
      <c r="D113" s="87" t="s">
        <v>850</v>
      </c>
      <c r="E113" s="89">
        <f t="shared" si="34"/>
        <v>1.0651315789473685</v>
      </c>
      <c r="F113" s="89">
        <v>0.7</v>
      </c>
      <c r="G113" s="89" t="s">
        <v>106</v>
      </c>
      <c r="H113" s="91" t="s">
        <v>220</v>
      </c>
      <c r="I113" s="90" t="s">
        <v>106</v>
      </c>
      <c r="J113" s="89">
        <f t="shared" si="36"/>
        <v>0</v>
      </c>
      <c r="K113" s="89" t="s">
        <v>106</v>
      </c>
      <c r="L113" s="91">
        <f t="shared" ref="L113:L116" si="42">inp_scr_min</f>
        <v>10</v>
      </c>
      <c r="M113" s="91">
        <f t="shared" ref="M113:M116" si="43">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3"/>
        <v>1</v>
      </c>
      <c r="C114" s="88" t="b">
        <f t="shared" si="33"/>
        <v>1</v>
      </c>
      <c r="D114" s="87" t="s">
        <v>851</v>
      </c>
      <c r="E114" s="89">
        <f t="shared" si="34"/>
        <v>1.0651315789473685</v>
      </c>
      <c r="F114" s="89">
        <v>0.7</v>
      </c>
      <c r="G114" s="89" t="s">
        <v>106</v>
      </c>
      <c r="H114" s="91" t="s">
        <v>220</v>
      </c>
      <c r="I114" s="90" t="s">
        <v>106</v>
      </c>
      <c r="J114" s="89">
        <f t="shared" si="36"/>
        <v>0</v>
      </c>
      <c r="K114" s="89" t="s">
        <v>106</v>
      </c>
      <c r="L114" s="91">
        <f t="shared" si="42"/>
        <v>10</v>
      </c>
      <c r="M114" s="91">
        <f t="shared" si="43"/>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3"/>
        <v>1</v>
      </c>
      <c r="C115" s="88" t="b">
        <f t="shared" si="33"/>
        <v>1</v>
      </c>
      <c r="D115" s="87" t="s">
        <v>852</v>
      </c>
      <c r="E115" s="89">
        <f t="shared" si="34"/>
        <v>1.0651315789473685</v>
      </c>
      <c r="F115" s="89">
        <v>0.7</v>
      </c>
      <c r="G115" s="89" t="s">
        <v>106</v>
      </c>
      <c r="H115" s="91" t="s">
        <v>220</v>
      </c>
      <c r="I115" s="90" t="s">
        <v>106</v>
      </c>
      <c r="J115" s="89">
        <f t="shared" si="36"/>
        <v>0</v>
      </c>
      <c r="K115" s="89" t="s">
        <v>106</v>
      </c>
      <c r="L115" s="91">
        <f t="shared" si="42"/>
        <v>10</v>
      </c>
      <c r="M115" s="91">
        <f t="shared" si="43"/>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3"/>
        <v>1</v>
      </c>
      <c r="C116" s="88" t="b">
        <f t="shared" si="33"/>
        <v>1</v>
      </c>
      <c r="D116" s="87" t="s">
        <v>853</v>
      </c>
      <c r="E116" s="89">
        <f t="shared" si="34"/>
        <v>1.0651315789473685</v>
      </c>
      <c r="F116" s="89">
        <v>0.7</v>
      </c>
      <c r="G116" s="89" t="s">
        <v>106</v>
      </c>
      <c r="H116" s="91" t="s">
        <v>220</v>
      </c>
      <c r="I116" s="90" t="s">
        <v>106</v>
      </c>
      <c r="J116" s="89">
        <f t="shared" si="36"/>
        <v>0</v>
      </c>
      <c r="K116" s="89" t="s">
        <v>106</v>
      </c>
      <c r="L116" s="91">
        <f t="shared" si="42"/>
        <v>10</v>
      </c>
      <c r="M116" s="91">
        <f t="shared" si="43"/>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3"/>
        <v>1</v>
      </c>
      <c r="C117" s="88" t="b">
        <f t="shared" si="33"/>
        <v>1</v>
      </c>
      <c r="D117" s="87" t="s">
        <v>854</v>
      </c>
      <c r="E117" s="89">
        <f t="shared" si="34"/>
        <v>1.0651315789473685</v>
      </c>
      <c r="F117" s="89">
        <v>1</v>
      </c>
      <c r="G117" s="89" t="s">
        <v>106</v>
      </c>
      <c r="H117" s="91" t="s">
        <v>220</v>
      </c>
      <c r="I117" s="90" t="str">
        <f t="shared" ref="I117:I130" si="44">IF(inp_default="Q(U)","Q",IF(inp_default="Q","Q(U)",0))</f>
        <v>Q(U)</v>
      </c>
      <c r="J117" s="89">
        <f>IF(inp_default="Q",E117,IF(inp_default="PF",1,0))</f>
        <v>1.0651315789473685</v>
      </c>
      <c r="K117" s="89" t="s">
        <v>106</v>
      </c>
      <c r="L117" s="91">
        <f t="shared" ref="L117:L130" si="45">inp_scr_min</f>
        <v>10</v>
      </c>
      <c r="M117" s="91">
        <f t="shared" ref="M117:M130" si="46">inp_xr_min</f>
        <v>10</v>
      </c>
      <c r="N117" s="91" t="s">
        <v>106</v>
      </c>
      <c r="O117" s="92">
        <v>12</v>
      </c>
      <c r="P117" s="97" t="s">
        <v>116</v>
      </c>
      <c r="Q117" s="97">
        <v>0</v>
      </c>
      <c r="R117" s="100">
        <f>sel_ures</f>
        <v>0</v>
      </c>
      <c r="S117" s="97">
        <f t="shared" ref="S117" si="47">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3"/>
        <v>1</v>
      </c>
      <c r="C118" s="88" t="b">
        <f t="shared" si="33"/>
        <v>1</v>
      </c>
      <c r="D118" s="87" t="s">
        <v>855</v>
      </c>
      <c r="E118" s="89">
        <f t="shared" si="34"/>
        <v>1.0651315789473685</v>
      </c>
      <c r="F118" s="89">
        <v>1</v>
      </c>
      <c r="G118" s="89" t="s">
        <v>106</v>
      </c>
      <c r="H118" s="91" t="s">
        <v>220</v>
      </c>
      <c r="I118" s="90" t="str">
        <f t="shared" si="44"/>
        <v>Q(U)</v>
      </c>
      <c r="J118" s="89">
        <f>IF(inp_default="Q",E118,IF(inp_default="PF",1,0))</f>
        <v>1.0651315789473685</v>
      </c>
      <c r="K118" s="89" t="s">
        <v>106</v>
      </c>
      <c r="L118" s="91">
        <f t="shared" si="45"/>
        <v>10</v>
      </c>
      <c r="M118" s="91">
        <f t="shared" si="46"/>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3"/>
        <v>1</v>
      </c>
      <c r="C119" s="88" t="b">
        <f t="shared" si="33"/>
        <v>1</v>
      </c>
      <c r="D119" s="87" t="s">
        <v>856</v>
      </c>
      <c r="E119" s="89">
        <f t="shared" si="34"/>
        <v>1.0651315789473685</v>
      </c>
      <c r="F119" s="89">
        <v>1</v>
      </c>
      <c r="G119" s="89" t="s">
        <v>106</v>
      </c>
      <c r="H119" s="91" t="s">
        <v>220</v>
      </c>
      <c r="I119" s="90" t="str">
        <f t="shared" si="44"/>
        <v>Q(U)</v>
      </c>
      <c r="J119" s="89">
        <f>IF(inp_default="Q",E119,IF(inp_default="PF",1,0))</f>
        <v>1.0651315789473685</v>
      </c>
      <c r="K119" s="89" t="s">
        <v>106</v>
      </c>
      <c r="L119" s="91">
        <f t="shared" si="45"/>
        <v>10</v>
      </c>
      <c r="M119" s="91">
        <f t="shared" si="46"/>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3"/>
        <v>1</v>
      </c>
      <c r="C120" s="88" t="b">
        <f t="shared" si="33"/>
        <v>1</v>
      </c>
      <c r="D120" s="87" t="s">
        <v>857</v>
      </c>
      <c r="E120" s="89">
        <f t="shared" si="34"/>
        <v>1.0651315789473685</v>
      </c>
      <c r="F120" s="89">
        <v>1</v>
      </c>
      <c r="G120" s="89" t="s">
        <v>106</v>
      </c>
      <c r="H120" s="91" t="s">
        <v>220</v>
      </c>
      <c r="I120" s="90" t="str">
        <f t="shared" si="44"/>
        <v>Q(U)</v>
      </c>
      <c r="J120" s="89">
        <f t="shared" ref="J120" si="48">IF(inp_default="Q",E120,IF(inp_default="PF",1,0))</f>
        <v>1.0651315789473685</v>
      </c>
      <c r="K120" s="89" t="s">
        <v>106</v>
      </c>
      <c r="L120" s="91">
        <f t="shared" si="45"/>
        <v>10</v>
      </c>
      <c r="M120" s="91">
        <f t="shared" si="46"/>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3"/>
        <v>1</v>
      </c>
      <c r="C121" s="88" t="b">
        <f t="shared" si="33"/>
        <v>1</v>
      </c>
      <c r="D121" s="87" t="s">
        <v>858</v>
      </c>
      <c r="E121" s="89">
        <f t="shared" si="34"/>
        <v>1.0651315789473685</v>
      </c>
      <c r="F121" s="89">
        <v>1</v>
      </c>
      <c r="G121" s="89" t="s">
        <v>106</v>
      </c>
      <c r="H121" s="91" t="s">
        <v>220</v>
      </c>
      <c r="I121" s="90" t="str">
        <f t="shared" si="44"/>
        <v>Q(U)</v>
      </c>
      <c r="J121" s="89">
        <f>IF(inp_default="Q",E121,IF(inp_default="PF",1,0))</f>
        <v>1.0651315789473685</v>
      </c>
      <c r="K121" s="89" t="s">
        <v>106</v>
      </c>
      <c r="L121" s="91">
        <f t="shared" si="45"/>
        <v>10</v>
      </c>
      <c r="M121" s="91">
        <f t="shared" si="46"/>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3"/>
        <v>1</v>
      </c>
      <c r="C122" s="88" t="b">
        <f t="shared" si="33"/>
        <v>1</v>
      </c>
      <c r="D122" s="87" t="s">
        <v>859</v>
      </c>
      <c r="E122" s="89">
        <f t="shared" si="34"/>
        <v>1.0651315789473685</v>
      </c>
      <c r="F122" s="89">
        <v>1</v>
      </c>
      <c r="G122" s="89" t="s">
        <v>106</v>
      </c>
      <c r="H122" s="91" t="s">
        <v>220</v>
      </c>
      <c r="I122" s="90" t="str">
        <f t="shared" si="44"/>
        <v>Q(U)</v>
      </c>
      <c r="J122" s="89">
        <f>IF(inp_default="Q",E122,IF(inp_default="PF",1,0))</f>
        <v>1.0651315789473685</v>
      </c>
      <c r="K122" s="89" t="s">
        <v>106</v>
      </c>
      <c r="L122" s="91">
        <f t="shared" si="45"/>
        <v>10</v>
      </c>
      <c r="M122" s="91">
        <f t="shared" si="46"/>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3"/>
        <v>1</v>
      </c>
      <c r="C123" s="88" t="b">
        <f t="shared" si="33"/>
        <v>1</v>
      </c>
      <c r="D123" s="87" t="s">
        <v>860</v>
      </c>
      <c r="E123" s="89">
        <f t="shared" si="34"/>
        <v>1.0651315789473685</v>
      </c>
      <c r="F123" s="89">
        <v>1</v>
      </c>
      <c r="G123" s="89" t="s">
        <v>106</v>
      </c>
      <c r="H123" s="91" t="s">
        <v>220</v>
      </c>
      <c r="I123" s="90" t="str">
        <f t="shared" si="44"/>
        <v>Q(U)</v>
      </c>
      <c r="J123" s="89">
        <f t="shared" ref="J123:J124" si="49">IF(inp_default="Q",E123,IF(inp_default="PF",1,0))</f>
        <v>1.0651315789473685</v>
      </c>
      <c r="K123" s="89" t="s">
        <v>106</v>
      </c>
      <c r="L123" s="91">
        <f t="shared" si="45"/>
        <v>10</v>
      </c>
      <c r="M123" s="91">
        <f t="shared" si="46"/>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3"/>
        <v>1</v>
      </c>
      <c r="C124" s="88" t="b">
        <f t="shared" si="33"/>
        <v>1</v>
      </c>
      <c r="D124" s="87" t="s">
        <v>861</v>
      </c>
      <c r="E124" s="89">
        <f t="shared" si="34"/>
        <v>1.0651315789473685</v>
      </c>
      <c r="F124" s="89">
        <v>1</v>
      </c>
      <c r="G124" s="89" t="s">
        <v>106</v>
      </c>
      <c r="H124" s="91" t="s">
        <v>220</v>
      </c>
      <c r="I124" s="90" t="str">
        <f t="shared" si="44"/>
        <v>Q(U)</v>
      </c>
      <c r="J124" s="89">
        <f t="shared" si="49"/>
        <v>1.0651315789473685</v>
      </c>
      <c r="K124" s="89" t="s">
        <v>106</v>
      </c>
      <c r="L124" s="91">
        <f t="shared" si="45"/>
        <v>10</v>
      </c>
      <c r="M124" s="91">
        <f t="shared" si="46"/>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3"/>
        <v>1</v>
      </c>
      <c r="C125" s="88" t="b">
        <f t="shared" si="33"/>
        <v>1</v>
      </c>
      <c r="D125" s="87" t="s">
        <v>862</v>
      </c>
      <c r="E125" s="89">
        <f t="shared" si="34"/>
        <v>1.0651315789473685</v>
      </c>
      <c r="F125" s="89">
        <v>1</v>
      </c>
      <c r="G125" s="89" t="s">
        <v>106</v>
      </c>
      <c r="H125" s="91" t="s">
        <v>220</v>
      </c>
      <c r="I125" s="90" t="str">
        <f t="shared" si="44"/>
        <v>Q(U)</v>
      </c>
      <c r="J125" s="89">
        <f t="shared" ref="J125" si="50">IF(inp_default="Q",E125,IF(inp_default="PF",1,0))</f>
        <v>1.0651315789473685</v>
      </c>
      <c r="K125" s="89" t="s">
        <v>106</v>
      </c>
      <c r="L125" s="91">
        <f t="shared" si="45"/>
        <v>10</v>
      </c>
      <c r="M125" s="91">
        <f t="shared" si="46"/>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3"/>
        <v>1</v>
      </c>
      <c r="C126" s="88" t="b">
        <f t="shared" si="33"/>
        <v>1</v>
      </c>
      <c r="D126" s="87" t="s">
        <v>863</v>
      </c>
      <c r="E126" s="89">
        <f t="shared" si="34"/>
        <v>1.0651315789473685</v>
      </c>
      <c r="F126" s="89">
        <v>1</v>
      </c>
      <c r="G126" s="89" t="s">
        <v>106</v>
      </c>
      <c r="H126" s="91" t="s">
        <v>220</v>
      </c>
      <c r="I126" s="90" t="str">
        <f t="shared" si="44"/>
        <v>Q(U)</v>
      </c>
      <c r="J126" s="89">
        <f t="shared" ref="J126:J128" si="51">IF(inp_default="Q",E126,IF(inp_default="PF",1,0))</f>
        <v>1.0651315789473685</v>
      </c>
      <c r="K126" s="89" t="s">
        <v>106</v>
      </c>
      <c r="L126" s="91">
        <f t="shared" si="45"/>
        <v>10</v>
      </c>
      <c r="M126" s="91">
        <f t="shared" si="46"/>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3"/>
        <v>1</v>
      </c>
      <c r="C127" s="88" t="b">
        <f t="shared" si="33"/>
        <v>1</v>
      </c>
      <c r="D127" s="87" t="s">
        <v>864</v>
      </c>
      <c r="E127" s="89">
        <f t="shared" si="34"/>
        <v>1.0651315789473685</v>
      </c>
      <c r="F127" s="89">
        <v>1</v>
      </c>
      <c r="G127" s="89" t="s">
        <v>106</v>
      </c>
      <c r="H127" s="91" t="s">
        <v>220</v>
      </c>
      <c r="I127" s="90" t="str">
        <f t="shared" si="44"/>
        <v>Q(U)</v>
      </c>
      <c r="J127" s="89">
        <f t="shared" si="51"/>
        <v>1.0651315789473685</v>
      </c>
      <c r="K127" s="89" t="s">
        <v>106</v>
      </c>
      <c r="L127" s="91">
        <f t="shared" si="45"/>
        <v>10</v>
      </c>
      <c r="M127" s="91">
        <f t="shared" si="46"/>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3"/>
        <v>1</v>
      </c>
      <c r="C128" s="88" t="b">
        <f t="shared" si="33"/>
        <v>1</v>
      </c>
      <c r="D128" s="87" t="s">
        <v>865</v>
      </c>
      <c r="E128" s="89">
        <f t="shared" si="34"/>
        <v>1.0651315789473685</v>
      </c>
      <c r="F128" s="89">
        <v>1</v>
      </c>
      <c r="G128" s="89" t="s">
        <v>106</v>
      </c>
      <c r="H128" s="91" t="s">
        <v>220</v>
      </c>
      <c r="I128" s="90" t="str">
        <f t="shared" si="44"/>
        <v>Q(U)</v>
      </c>
      <c r="J128" s="89">
        <f t="shared" si="51"/>
        <v>1.0651315789473685</v>
      </c>
      <c r="K128" s="89" t="s">
        <v>106</v>
      </c>
      <c r="L128" s="91">
        <f t="shared" si="45"/>
        <v>10</v>
      </c>
      <c r="M128" s="91">
        <f t="shared" si="46"/>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3"/>
        <v>1</v>
      </c>
      <c r="C129" s="88" t="b">
        <f t="shared" si="33"/>
        <v>1</v>
      </c>
      <c r="D129" s="87" t="s">
        <v>866</v>
      </c>
      <c r="E129" s="89">
        <f t="shared" si="34"/>
        <v>1.0651315789473685</v>
      </c>
      <c r="F129" s="89">
        <v>1</v>
      </c>
      <c r="G129" s="89" t="s">
        <v>106</v>
      </c>
      <c r="H129" s="91" t="s">
        <v>220</v>
      </c>
      <c r="I129" s="90" t="str">
        <f t="shared" si="44"/>
        <v>Q(U)</v>
      </c>
      <c r="J129" s="89">
        <f t="shared" ref="J129" si="52">IF(inp_default="Q",E129,IF(inp_default="PF",1,0))</f>
        <v>1.0651315789473685</v>
      </c>
      <c r="K129" s="89" t="s">
        <v>106</v>
      </c>
      <c r="L129" s="91">
        <f t="shared" si="45"/>
        <v>10</v>
      </c>
      <c r="M129" s="91">
        <f t="shared" si="46"/>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3"/>
        <v>1</v>
      </c>
      <c r="C130" s="88" t="b">
        <f t="shared" si="33"/>
        <v>1</v>
      </c>
      <c r="D130" s="87" t="s">
        <v>867</v>
      </c>
      <c r="E130" s="89">
        <f t="shared" si="34"/>
        <v>1.0651315789473685</v>
      </c>
      <c r="F130" s="89">
        <v>1</v>
      </c>
      <c r="G130" s="89" t="s">
        <v>106</v>
      </c>
      <c r="H130" s="91" t="s">
        <v>220</v>
      </c>
      <c r="I130" s="90" t="str">
        <f t="shared" si="44"/>
        <v>Q(U)</v>
      </c>
      <c r="J130" s="89">
        <f t="shared" ref="J130" si="53">IF(inp_default="Q",E130,IF(inp_default="PF",1,0))</f>
        <v>1.0651315789473685</v>
      </c>
      <c r="K130" s="89" t="s">
        <v>106</v>
      </c>
      <c r="L130" s="91">
        <f t="shared" si="45"/>
        <v>10</v>
      </c>
      <c r="M130" s="91">
        <f t="shared" si="46"/>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3"/>
        <v>1</v>
      </c>
      <c r="C131" s="88" t="b">
        <f t="shared" si="33"/>
        <v>1</v>
      </c>
      <c r="D131" s="87" t="s">
        <v>868</v>
      </c>
      <c r="E131" s="89">
        <f t="shared" ref="E131:E143" si="54">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3"/>
        <v>1</v>
      </c>
      <c r="C132" s="88" t="b">
        <f t="shared" si="33"/>
        <v>1</v>
      </c>
      <c r="D132" s="87" t="s">
        <v>869</v>
      </c>
      <c r="E132" s="89">
        <f t="shared" si="54"/>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3"/>
        <v>1</v>
      </c>
      <c r="C133" s="88" t="b">
        <f t="shared" si="33"/>
        <v>1</v>
      </c>
      <c r="D133" s="87" t="s">
        <v>870</v>
      </c>
      <c r="E133" s="89">
        <f t="shared" si="54"/>
        <v>1.0651315789473685</v>
      </c>
      <c r="F133" s="89">
        <v>1</v>
      </c>
      <c r="G133" s="89" t="s">
        <v>106</v>
      </c>
      <c r="H133" s="91" t="s">
        <v>220</v>
      </c>
      <c r="I133" s="90" t="str">
        <f t="shared" ref="I133" si="55">IF(inp_default="Q(U)","Q",IF(inp_default="Q","Q(U)",0))</f>
        <v>Q(U)</v>
      </c>
      <c r="J133" s="89">
        <f t="shared" ref="J133" si="56">IF(inp_default="Q",E133,IF(inp_default="PF",1,0))</f>
        <v>1.0651315789473685</v>
      </c>
      <c r="K133" s="89" t="s">
        <v>106</v>
      </c>
      <c r="L133" s="91">
        <f t="shared" ref="L133:L136" si="57">inp_scr_min</f>
        <v>10</v>
      </c>
      <c r="M133" s="91">
        <f t="shared" ref="M133:M136" si="58">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3"/>
        <v>1</v>
      </c>
      <c r="C134" s="88" t="b">
        <f t="shared" si="33"/>
        <v>1</v>
      </c>
      <c r="D134" s="87" t="s">
        <v>871</v>
      </c>
      <c r="E134" s="89">
        <f t="shared" si="54"/>
        <v>1.0651315789473685</v>
      </c>
      <c r="F134" s="89">
        <v>1</v>
      </c>
      <c r="G134" s="89" t="s">
        <v>106</v>
      </c>
      <c r="H134" s="91" t="s">
        <v>220</v>
      </c>
      <c r="I134" s="90" t="s">
        <v>106</v>
      </c>
      <c r="J134" s="89">
        <f>IF(inp_default="Q(U)",inp_Uc/inp_Un,IF(inp_default="PF",1,0))</f>
        <v>0</v>
      </c>
      <c r="K134" s="89" t="s">
        <v>106</v>
      </c>
      <c r="L134" s="91">
        <f t="shared" si="57"/>
        <v>10</v>
      </c>
      <c r="M134" s="91">
        <f t="shared" si="58"/>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3"/>
        <v>1</v>
      </c>
      <c r="C135" s="88" t="b">
        <f t="shared" si="33"/>
        <v>1</v>
      </c>
      <c r="D135" s="87" t="s">
        <v>872</v>
      </c>
      <c r="E135" s="89">
        <f t="shared" si="54"/>
        <v>1.0651315789473685</v>
      </c>
      <c r="F135" s="89">
        <v>1</v>
      </c>
      <c r="G135" s="89" t="s">
        <v>106</v>
      </c>
      <c r="H135" s="91" t="s">
        <v>220</v>
      </c>
      <c r="I135" s="90" t="s">
        <v>106</v>
      </c>
      <c r="J135" s="89">
        <f>IF(inp_default="Q(U)",inp_Uc/inp_Un,IF(inp_default="PF",1,0))</f>
        <v>0</v>
      </c>
      <c r="K135" s="89" t="s">
        <v>106</v>
      </c>
      <c r="L135" s="91">
        <f t="shared" si="57"/>
        <v>10</v>
      </c>
      <c r="M135" s="91">
        <f t="shared" si="58"/>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3"/>
        <v>1</v>
      </c>
      <c r="C136" s="88" t="b">
        <f t="shared" si="33"/>
        <v>1</v>
      </c>
      <c r="D136" s="87" t="s">
        <v>873</v>
      </c>
      <c r="E136" s="89">
        <f t="shared" si="54"/>
        <v>1.0651315789473685</v>
      </c>
      <c r="F136" s="89">
        <v>1</v>
      </c>
      <c r="G136" s="89" t="s">
        <v>106</v>
      </c>
      <c r="H136" s="91" t="s">
        <v>220</v>
      </c>
      <c r="I136" s="90" t="str">
        <f t="shared" ref="I136" si="59">IF(inp_default="Q(U)","Q",IF(inp_default="Q","Q(U)",0))</f>
        <v>Q(U)</v>
      </c>
      <c r="J136" s="89">
        <f t="shared" ref="J136" si="60">IF(inp_default="Q",E136,IF(inp_default="PF",1,0))</f>
        <v>1.0651315789473685</v>
      </c>
      <c r="K136" s="89" t="s">
        <v>106</v>
      </c>
      <c r="L136" s="91">
        <f t="shared" si="57"/>
        <v>10</v>
      </c>
      <c r="M136" s="91">
        <f t="shared" si="58"/>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3"/>
        <v>1</v>
      </c>
      <c r="C137" s="88" t="b">
        <f t="shared" si="33"/>
        <v>1</v>
      </c>
      <c r="D137" s="87" t="s">
        <v>874</v>
      </c>
      <c r="E137" s="89">
        <f t="shared" si="54"/>
        <v>1.0651315789473685</v>
      </c>
      <c r="F137" s="89">
        <v>1</v>
      </c>
      <c r="G137" s="89" t="s">
        <v>106</v>
      </c>
      <c r="H137" s="91" t="s">
        <v>220</v>
      </c>
      <c r="I137" s="90" t="s">
        <v>106</v>
      </c>
      <c r="J137" s="89">
        <f t="shared" ref="J137" si="61">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3"/>
        <v>1</v>
      </c>
      <c r="C138" s="88" t="b">
        <f t="shared" si="33"/>
        <v>1</v>
      </c>
      <c r="D138" s="87" t="s">
        <v>875</v>
      </c>
      <c r="E138" s="89">
        <f t="shared" si="54"/>
        <v>1.0651315789473685</v>
      </c>
      <c r="F138" s="89">
        <v>1</v>
      </c>
      <c r="G138" s="89" t="s">
        <v>106</v>
      </c>
      <c r="H138" s="91" t="s">
        <v>220</v>
      </c>
      <c r="I138" s="90" t="s">
        <v>106</v>
      </c>
      <c r="J138" s="89">
        <f t="shared" ref="J138:J142" si="62">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3"/>
        <v>1</v>
      </c>
      <c r="C139" s="88" t="b">
        <f t="shared" si="33"/>
        <v>1</v>
      </c>
      <c r="D139" s="87" t="s">
        <v>876</v>
      </c>
      <c r="E139" s="89">
        <f t="shared" si="54"/>
        <v>1.0651315789473685</v>
      </c>
      <c r="F139" s="89">
        <v>1</v>
      </c>
      <c r="G139" s="89" t="s">
        <v>106</v>
      </c>
      <c r="H139" s="91" t="s">
        <v>220</v>
      </c>
      <c r="I139" s="90" t="s">
        <v>106</v>
      </c>
      <c r="J139" s="89">
        <f t="shared" si="62"/>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3"/>
        <v>1</v>
      </c>
      <c r="C140" s="88" t="b">
        <f t="shared" si="33"/>
        <v>1</v>
      </c>
      <c r="D140" s="87" t="s">
        <v>877</v>
      </c>
      <c r="E140" s="89">
        <f t="shared" si="54"/>
        <v>1.0651315789473685</v>
      </c>
      <c r="F140" s="89">
        <v>1</v>
      </c>
      <c r="G140" s="89" t="s">
        <v>106</v>
      </c>
      <c r="H140" s="91" t="s">
        <v>220</v>
      </c>
      <c r="I140" s="90" t="s">
        <v>106</v>
      </c>
      <c r="J140" s="89">
        <f t="shared" si="62"/>
        <v>0</v>
      </c>
      <c r="K140" s="89" t="s">
        <v>106</v>
      </c>
      <c r="L140" s="91">
        <f t="shared" ref="L140:L141" si="63">inp_scr_min</f>
        <v>10</v>
      </c>
      <c r="M140" s="91">
        <f t="shared" ref="M140:M141" si="64">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5">inp_Un&gt;=110</f>
        <v>1</v>
      </c>
      <c r="C141" s="88" t="b">
        <f t="shared" si="65"/>
        <v>1</v>
      </c>
      <c r="D141" s="87" t="s">
        <v>878</v>
      </c>
      <c r="E141" s="89">
        <f t="shared" si="54"/>
        <v>1.0651315789473685</v>
      </c>
      <c r="F141" s="89">
        <v>1</v>
      </c>
      <c r="G141" s="89" t="s">
        <v>106</v>
      </c>
      <c r="H141" s="91" t="s">
        <v>220</v>
      </c>
      <c r="I141" s="90" t="s">
        <v>106</v>
      </c>
      <c r="J141" s="89">
        <f t="shared" si="62"/>
        <v>0</v>
      </c>
      <c r="K141" s="89" t="s">
        <v>106</v>
      </c>
      <c r="L141" s="91">
        <f t="shared" si="63"/>
        <v>10</v>
      </c>
      <c r="M141" s="91">
        <f t="shared" si="64"/>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5"/>
        <v>1</v>
      </c>
      <c r="C142" s="88" t="b">
        <f t="shared" si="65"/>
        <v>1</v>
      </c>
      <c r="D142" s="87" t="s">
        <v>879</v>
      </c>
      <c r="E142" s="89">
        <f t="shared" si="54"/>
        <v>1.0651315789473685</v>
      </c>
      <c r="F142" s="89">
        <v>1</v>
      </c>
      <c r="G142" s="89" t="s">
        <v>106</v>
      </c>
      <c r="H142" s="91" t="s">
        <v>220</v>
      </c>
      <c r="I142" s="90" t="s">
        <v>106</v>
      </c>
      <c r="J142" s="89">
        <f t="shared" si="62"/>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5"/>
        <v>1</v>
      </c>
      <c r="C143" s="88" t="b">
        <f t="shared" si="65"/>
        <v>1</v>
      </c>
      <c r="D143" s="87" t="s">
        <v>880</v>
      </c>
      <c r="E143" s="89">
        <f t="shared" si="54"/>
        <v>1.0651315789473685</v>
      </c>
      <c r="F143" s="89">
        <v>1</v>
      </c>
      <c r="G143" s="89" t="s">
        <v>106</v>
      </c>
      <c r="H143" s="91" t="s">
        <v>220</v>
      </c>
      <c r="I143" s="90" t="s">
        <v>106</v>
      </c>
      <c r="J143" s="89">
        <f t="shared" ref="J143" si="66">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5"/>
        <v>1</v>
      </c>
      <c r="C144" s="88" t="b">
        <f t="shared" si="65"/>
        <v>1</v>
      </c>
      <c r="D144" s="87" t="s">
        <v>919</v>
      </c>
      <c r="E144" s="89">
        <f t="shared" ref="E144:E145" si="67">inp_Uc/inp_Un</f>
        <v>1.0651315789473685</v>
      </c>
      <c r="F144" s="89">
        <v>1</v>
      </c>
      <c r="G144" s="89" t="s">
        <v>106</v>
      </c>
      <c r="H144" s="91" t="s">
        <v>220</v>
      </c>
      <c r="I144" s="90" t="s">
        <v>106</v>
      </c>
      <c r="J144" s="89">
        <f t="shared" ref="J144" si="68">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5"/>
        <v>1</v>
      </c>
      <c r="C145" s="88" t="b">
        <f t="shared" si="65"/>
        <v>1</v>
      </c>
      <c r="D145" s="87" t="s">
        <v>920</v>
      </c>
      <c r="E145" s="89">
        <f t="shared" si="67"/>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5"/>
        <v>1</v>
      </c>
      <c r="C146" s="88" t="b">
        <f t="shared" si="65"/>
        <v>1</v>
      </c>
      <c r="D146" s="87" t="s">
        <v>881</v>
      </c>
      <c r="E146" s="89">
        <f t="shared" ref="E146:E178" si="69">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0">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5"/>
        <v>1</v>
      </c>
      <c r="C147" s="88" t="b">
        <f t="shared" si="65"/>
        <v>1</v>
      </c>
      <c r="D147" s="87" t="s">
        <v>882</v>
      </c>
      <c r="E147" s="89">
        <f t="shared" si="69"/>
        <v>1.0651315789473685</v>
      </c>
      <c r="F147" s="89">
        <v>1</v>
      </c>
      <c r="G147" s="89" t="s">
        <v>106</v>
      </c>
      <c r="H147" s="91" t="s">
        <v>220</v>
      </c>
      <c r="I147" s="91" t="s">
        <v>111</v>
      </c>
      <c r="J147" s="89">
        <f t="shared" ref="J147" si="71">inp_Uc/inp_Un</f>
        <v>1.0651315789473685</v>
      </c>
      <c r="K147" s="89" t="s">
        <v>106</v>
      </c>
      <c r="L147" s="91">
        <v>-1</v>
      </c>
      <c r="M147" s="91">
        <v>0</v>
      </c>
      <c r="N147" s="91" t="s">
        <v>106</v>
      </c>
      <c r="O147" s="92"/>
      <c r="P147" s="97" t="s">
        <v>125</v>
      </c>
      <c r="Q147" s="97"/>
      <c r="R147" s="102" t="s">
        <v>126</v>
      </c>
      <c r="S147" s="102">
        <f t="shared" si="70"/>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5"/>
        <v>1</v>
      </c>
      <c r="C148" s="88" t="b">
        <f t="shared" si="65"/>
        <v>1</v>
      </c>
      <c r="D148" s="87" t="s">
        <v>883</v>
      </c>
      <c r="E148" s="89">
        <f t="shared" si="69"/>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0"/>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5"/>
        <v>1</v>
      </c>
      <c r="C149" s="88" t="b">
        <f t="shared" si="65"/>
        <v>1</v>
      </c>
      <c r="D149" s="87" t="s">
        <v>884</v>
      </c>
      <c r="E149" s="89">
        <f t="shared" si="69"/>
        <v>1.0651315789473685</v>
      </c>
      <c r="F149" s="89">
        <v>1</v>
      </c>
      <c r="G149" s="89" t="s">
        <v>106</v>
      </c>
      <c r="H149" s="91" t="s">
        <v>220</v>
      </c>
      <c r="I149" s="91" t="s">
        <v>111</v>
      </c>
      <c r="J149" s="89">
        <f t="shared" ref="J149:J151" si="72">inp_Uc/inp_Un</f>
        <v>1.0651315789473685</v>
      </c>
      <c r="K149" s="89" t="s">
        <v>106</v>
      </c>
      <c r="L149" s="91">
        <v>-1</v>
      </c>
      <c r="M149" s="91">
        <v>0</v>
      </c>
      <c r="N149" s="91" t="s">
        <v>106</v>
      </c>
      <c r="O149" s="92"/>
      <c r="P149" s="97" t="s">
        <v>125</v>
      </c>
      <c r="Q149" s="97"/>
      <c r="R149" s="102" t="s">
        <v>127</v>
      </c>
      <c r="S149" s="102">
        <f t="shared" si="70"/>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5"/>
        <v>1</v>
      </c>
      <c r="C150" s="88" t="b">
        <f t="shared" si="65"/>
        <v>1</v>
      </c>
      <c r="D150" s="87" t="s">
        <v>885</v>
      </c>
      <c r="E150" s="89">
        <f t="shared" si="69"/>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0"/>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5"/>
        <v>1</v>
      </c>
      <c r="C151" s="88" t="b">
        <f t="shared" si="65"/>
        <v>1</v>
      </c>
      <c r="D151" s="87" t="s">
        <v>886</v>
      </c>
      <c r="E151" s="89">
        <f t="shared" si="69"/>
        <v>1.0651315789473685</v>
      </c>
      <c r="F151" s="89">
        <v>1</v>
      </c>
      <c r="G151" s="89" t="s">
        <v>106</v>
      </c>
      <c r="H151" s="91" t="s">
        <v>220</v>
      </c>
      <c r="I151" s="91" t="s">
        <v>111</v>
      </c>
      <c r="J151" s="89">
        <f t="shared" si="72"/>
        <v>1.0651315789473685</v>
      </c>
      <c r="K151" s="89" t="s">
        <v>106</v>
      </c>
      <c r="L151" s="91">
        <v>-1</v>
      </c>
      <c r="M151" s="91">
        <v>0</v>
      </c>
      <c r="N151" s="91" t="s">
        <v>106</v>
      </c>
      <c r="O151" s="92"/>
      <c r="P151" s="97" t="s">
        <v>125</v>
      </c>
      <c r="Q151" s="97"/>
      <c r="R151" s="102" t="s">
        <v>459</v>
      </c>
      <c r="S151" s="102">
        <f t="shared" si="70"/>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5"/>
        <v>1</v>
      </c>
      <c r="C152" s="88" t="b">
        <f t="shared" si="65"/>
        <v>1</v>
      </c>
      <c r="D152" s="87" t="s">
        <v>887</v>
      </c>
      <c r="E152" s="89">
        <f t="shared" si="69"/>
        <v>1.0651315789473685</v>
      </c>
      <c r="F152" s="89">
        <v>1</v>
      </c>
      <c r="G152" s="89" t="s">
        <v>106</v>
      </c>
      <c r="H152" s="91" t="s">
        <v>220</v>
      </c>
      <c r="I152" s="90" t="s">
        <v>106</v>
      </c>
      <c r="J152" s="89">
        <v>0</v>
      </c>
      <c r="K152" s="89" t="s">
        <v>106</v>
      </c>
      <c r="L152" s="91">
        <f>inp_scr_min</f>
        <v>10</v>
      </c>
      <c r="M152" s="91">
        <f t="shared" ref="M152:M163" si="73">inp_xr_min</f>
        <v>10</v>
      </c>
      <c r="N152" s="91" t="s">
        <v>930</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5"/>
        <v>1</v>
      </c>
      <c r="C153" s="88" t="b">
        <f t="shared" si="65"/>
        <v>1</v>
      </c>
      <c r="D153" s="87" t="s">
        <v>888</v>
      </c>
      <c r="E153" s="89">
        <f t="shared" si="69"/>
        <v>1.0651315789473685</v>
      </c>
      <c r="F153" s="89">
        <v>1</v>
      </c>
      <c r="G153" s="89" t="s">
        <v>106</v>
      </c>
      <c r="H153" s="91" t="s">
        <v>220</v>
      </c>
      <c r="I153" s="90" t="s">
        <v>106</v>
      </c>
      <c r="J153" s="89">
        <v>0</v>
      </c>
      <c r="K153" s="89" t="s">
        <v>106</v>
      </c>
      <c r="L153" s="91">
        <f>inp_scr_max</f>
        <v>30</v>
      </c>
      <c r="M153" s="91">
        <f>inp_xr_max</f>
        <v>20</v>
      </c>
      <c r="N153" s="91" t="s">
        <v>930</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5"/>
        <v>1</v>
      </c>
      <c r="C154" s="88" t="b">
        <f t="shared" si="65"/>
        <v>1</v>
      </c>
      <c r="D154" s="87" t="s">
        <v>889</v>
      </c>
      <c r="E154" s="89">
        <f t="shared" si="69"/>
        <v>1.0651315789473685</v>
      </c>
      <c r="F154" s="89">
        <v>1</v>
      </c>
      <c r="G154" s="89" t="s">
        <v>106</v>
      </c>
      <c r="H154" s="91" t="s">
        <v>220</v>
      </c>
      <c r="I154" s="90" t="s">
        <v>106</v>
      </c>
      <c r="J154" s="89">
        <v>0</v>
      </c>
      <c r="K154" s="89" t="s">
        <v>106</v>
      </c>
      <c r="L154" s="91">
        <f>inp_scr_min</f>
        <v>10</v>
      </c>
      <c r="M154" s="91">
        <f t="shared" si="73"/>
        <v>10</v>
      </c>
      <c r="N154" s="91" t="s">
        <v>930</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5"/>
        <v>1</v>
      </c>
      <c r="C155" s="88" t="b">
        <f t="shared" si="65"/>
        <v>1</v>
      </c>
      <c r="D155" s="87" t="s">
        <v>890</v>
      </c>
      <c r="E155" s="89">
        <f t="shared" si="69"/>
        <v>1.0651315789473685</v>
      </c>
      <c r="F155" s="89">
        <v>1</v>
      </c>
      <c r="G155" s="89" t="s">
        <v>106</v>
      </c>
      <c r="H155" s="91" t="s">
        <v>220</v>
      </c>
      <c r="I155" s="90" t="s">
        <v>106</v>
      </c>
      <c r="J155" s="89">
        <v>0</v>
      </c>
      <c r="K155" s="89" t="s">
        <v>106</v>
      </c>
      <c r="L155" s="91">
        <f>inp_scr_max</f>
        <v>30</v>
      </c>
      <c r="M155" s="91">
        <f>inp_xr_max</f>
        <v>20</v>
      </c>
      <c r="N155" s="91" t="s">
        <v>930</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5"/>
        <v>1</v>
      </c>
      <c r="C156" s="88" t="b">
        <f t="shared" si="65"/>
        <v>1</v>
      </c>
      <c r="D156" s="87" t="s">
        <v>891</v>
      </c>
      <c r="E156" s="89">
        <f t="shared" si="69"/>
        <v>1.0651315789473685</v>
      </c>
      <c r="F156" s="89">
        <v>1</v>
      </c>
      <c r="G156" s="89" t="s">
        <v>106</v>
      </c>
      <c r="H156" s="91" t="s">
        <v>220</v>
      </c>
      <c r="I156" s="90" t="s">
        <v>106</v>
      </c>
      <c r="J156" s="89">
        <v>0</v>
      </c>
      <c r="K156" s="89" t="s">
        <v>106</v>
      </c>
      <c r="L156" s="91">
        <f>inp_scr_min</f>
        <v>10</v>
      </c>
      <c r="M156" s="91">
        <f t="shared" si="73"/>
        <v>10</v>
      </c>
      <c r="N156" s="91" t="s">
        <v>930</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5"/>
        <v>1</v>
      </c>
      <c r="C157" s="88" t="b">
        <f t="shared" si="65"/>
        <v>1</v>
      </c>
      <c r="D157" s="87" t="s">
        <v>892</v>
      </c>
      <c r="E157" s="89">
        <f t="shared" si="69"/>
        <v>1.0651315789473685</v>
      </c>
      <c r="F157" s="89">
        <v>1</v>
      </c>
      <c r="G157" s="89" t="s">
        <v>106</v>
      </c>
      <c r="H157" s="91" t="s">
        <v>220</v>
      </c>
      <c r="I157" s="90" t="s">
        <v>106</v>
      </c>
      <c r="J157" s="89">
        <v>0</v>
      </c>
      <c r="K157" s="89" t="s">
        <v>106</v>
      </c>
      <c r="L157" s="91">
        <f>inp_scr_max</f>
        <v>30</v>
      </c>
      <c r="M157" s="91">
        <f>inp_xr_max</f>
        <v>20</v>
      </c>
      <c r="N157" s="91" t="s">
        <v>930</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5"/>
        <v>1</v>
      </c>
      <c r="C158" s="88" t="b">
        <f t="shared" si="65"/>
        <v>1</v>
      </c>
      <c r="D158" s="87" t="s">
        <v>893</v>
      </c>
      <c r="E158" s="89">
        <f t="shared" si="69"/>
        <v>1.0651315789473685</v>
      </c>
      <c r="F158" s="89">
        <v>1</v>
      </c>
      <c r="G158" s="89" t="s">
        <v>106</v>
      </c>
      <c r="H158" s="91" t="s">
        <v>220</v>
      </c>
      <c r="I158" s="90" t="s">
        <v>106</v>
      </c>
      <c r="J158" s="89">
        <v>0</v>
      </c>
      <c r="K158" s="89" t="s">
        <v>106</v>
      </c>
      <c r="L158" s="91">
        <f>inp_scr_min</f>
        <v>10</v>
      </c>
      <c r="M158" s="91">
        <f t="shared" si="73"/>
        <v>10</v>
      </c>
      <c r="N158" s="91" t="s">
        <v>930</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5"/>
        <v>1</v>
      </c>
      <c r="C159" s="88" t="b">
        <f t="shared" si="65"/>
        <v>1</v>
      </c>
      <c r="D159" s="87" t="s">
        <v>894</v>
      </c>
      <c r="E159" s="89">
        <f t="shared" si="69"/>
        <v>1.0651315789473685</v>
      </c>
      <c r="F159" s="89">
        <v>1</v>
      </c>
      <c r="G159" s="89" t="s">
        <v>106</v>
      </c>
      <c r="H159" s="91" t="s">
        <v>220</v>
      </c>
      <c r="I159" s="90" t="s">
        <v>106</v>
      </c>
      <c r="J159" s="89">
        <v>0</v>
      </c>
      <c r="K159" s="89" t="s">
        <v>106</v>
      </c>
      <c r="L159" s="91">
        <f>inp_scr_max</f>
        <v>30</v>
      </c>
      <c r="M159" s="91">
        <f>inp_xr_max</f>
        <v>20</v>
      </c>
      <c r="N159" s="91" t="s">
        <v>930</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5"/>
        <v>1</v>
      </c>
      <c r="C160" s="88" t="b">
        <f t="shared" si="65"/>
        <v>1</v>
      </c>
      <c r="D160" s="87" t="s">
        <v>895</v>
      </c>
      <c r="E160" s="89">
        <f t="shared" si="69"/>
        <v>1.0651315789473685</v>
      </c>
      <c r="F160" s="89">
        <v>1</v>
      </c>
      <c r="G160" s="89" t="s">
        <v>106</v>
      </c>
      <c r="H160" s="91" t="s">
        <v>220</v>
      </c>
      <c r="I160" s="90" t="s">
        <v>106</v>
      </c>
      <c r="J160" s="89">
        <v>0</v>
      </c>
      <c r="K160" s="89" t="s">
        <v>106</v>
      </c>
      <c r="L160" s="91">
        <f>inp_scr_min</f>
        <v>10</v>
      </c>
      <c r="M160" s="91">
        <f t="shared" si="73"/>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5"/>
        <v>1</v>
      </c>
      <c r="C161" s="88" t="b">
        <f t="shared" si="65"/>
        <v>1</v>
      </c>
      <c r="D161" s="87" t="s">
        <v>896</v>
      </c>
      <c r="E161" s="89">
        <f t="shared" si="69"/>
        <v>1.0651315789473685</v>
      </c>
      <c r="F161" s="89">
        <v>1</v>
      </c>
      <c r="G161" s="89" t="s">
        <v>106</v>
      </c>
      <c r="H161" s="91" t="s">
        <v>220</v>
      </c>
      <c r="I161" s="90" t="s">
        <v>106</v>
      </c>
      <c r="J161" s="89">
        <v>0</v>
      </c>
      <c r="K161" s="89" t="s">
        <v>106</v>
      </c>
      <c r="L161" s="91">
        <f>inp_scr_min</f>
        <v>10</v>
      </c>
      <c r="M161" s="91">
        <f t="shared" si="73"/>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5"/>
        <v>1</v>
      </c>
      <c r="C162" s="88" t="b">
        <f t="shared" si="65"/>
        <v>1</v>
      </c>
      <c r="D162" s="87" t="s">
        <v>897</v>
      </c>
      <c r="E162" s="89">
        <f t="shared" si="69"/>
        <v>1.0651315789473685</v>
      </c>
      <c r="F162" s="89">
        <v>0.5</v>
      </c>
      <c r="G162" s="89">
        <v>0.5</v>
      </c>
      <c r="H162" s="91" t="s">
        <v>220</v>
      </c>
      <c r="I162" s="90" t="s">
        <v>106</v>
      </c>
      <c r="J162" s="89">
        <v>0</v>
      </c>
      <c r="K162" s="89" t="s">
        <v>106</v>
      </c>
      <c r="L162" s="91">
        <f>inp_scr_min</f>
        <v>10</v>
      </c>
      <c r="M162" s="91">
        <f t="shared" si="73"/>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5"/>
        <v>1</v>
      </c>
      <c r="C163" s="88" t="b">
        <f t="shared" si="65"/>
        <v>1</v>
      </c>
      <c r="D163" s="87" t="s">
        <v>898</v>
      </c>
      <c r="E163" s="89">
        <f t="shared" si="69"/>
        <v>1.0651315789473685</v>
      </c>
      <c r="F163" s="89">
        <v>0.5</v>
      </c>
      <c r="G163" s="89">
        <v>0.5</v>
      </c>
      <c r="H163" s="91" t="s">
        <v>220</v>
      </c>
      <c r="I163" s="90" t="s">
        <v>106</v>
      </c>
      <c r="J163" s="89">
        <v>0</v>
      </c>
      <c r="K163" s="89" t="s">
        <v>106</v>
      </c>
      <c r="L163" s="91">
        <f>inp_scr_min</f>
        <v>10</v>
      </c>
      <c r="M163" s="91">
        <f t="shared" si="73"/>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5"/>
        <v>1</v>
      </c>
      <c r="C164" s="88" t="b">
        <f t="shared" si="65"/>
        <v>1</v>
      </c>
      <c r="D164" s="87" t="s">
        <v>899</v>
      </c>
      <c r="E164" s="89">
        <f t="shared" si="69"/>
        <v>1.0651315789473685</v>
      </c>
      <c r="F164" s="89">
        <v>1</v>
      </c>
      <c r="G164" s="89" t="s">
        <v>106</v>
      </c>
      <c r="H164" s="91" t="s">
        <v>220</v>
      </c>
      <c r="I164" s="90" t="s">
        <v>22</v>
      </c>
      <c r="J164" s="89">
        <v>0</v>
      </c>
      <c r="K164" s="89" t="s">
        <v>106</v>
      </c>
      <c r="L164" s="91">
        <f t="shared" ref="L164:L168" si="74">inp_scr_min</f>
        <v>10</v>
      </c>
      <c r="M164" s="91">
        <f t="shared" ref="M164:M168" si="75">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5"/>
        <v>1</v>
      </c>
      <c r="C165" s="88" t="b">
        <f t="shared" si="65"/>
        <v>1</v>
      </c>
      <c r="D165" s="87" t="s">
        <v>900</v>
      </c>
      <c r="E165" s="89">
        <f t="shared" si="69"/>
        <v>1.0651315789473685</v>
      </c>
      <c r="F165" s="89">
        <v>1</v>
      </c>
      <c r="G165" s="89" t="s">
        <v>106</v>
      </c>
      <c r="H165" s="91" t="s">
        <v>220</v>
      </c>
      <c r="I165" s="90" t="s">
        <v>22</v>
      </c>
      <c r="J165" s="89">
        <v>0</v>
      </c>
      <c r="K165" s="89" t="s">
        <v>106</v>
      </c>
      <c r="L165" s="91">
        <f t="shared" si="74"/>
        <v>10</v>
      </c>
      <c r="M165" s="91">
        <f t="shared" si="75"/>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5"/>
        <v>1</v>
      </c>
      <c r="C166" s="88" t="b">
        <f t="shared" si="65"/>
        <v>1</v>
      </c>
      <c r="D166" s="87" t="s">
        <v>901</v>
      </c>
      <c r="E166" s="89">
        <f t="shared" si="69"/>
        <v>1.0651315789473685</v>
      </c>
      <c r="F166" s="89">
        <v>1</v>
      </c>
      <c r="G166" s="89" t="s">
        <v>106</v>
      </c>
      <c r="H166" s="91" t="s">
        <v>220</v>
      </c>
      <c r="I166" s="90" t="s">
        <v>22</v>
      </c>
      <c r="J166" s="89">
        <v>0</v>
      </c>
      <c r="K166" s="89" t="s">
        <v>106</v>
      </c>
      <c r="L166" s="91">
        <f t="shared" si="74"/>
        <v>10</v>
      </c>
      <c r="M166" s="91">
        <f t="shared" si="75"/>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5"/>
        <v>1</v>
      </c>
      <c r="C167" s="88" t="b">
        <f t="shared" si="65"/>
        <v>1</v>
      </c>
      <c r="D167" s="87" t="s">
        <v>902</v>
      </c>
      <c r="E167" s="89">
        <f t="shared" si="69"/>
        <v>1.0651315789473685</v>
      </c>
      <c r="F167" s="89">
        <v>1</v>
      </c>
      <c r="G167" s="89" t="s">
        <v>106</v>
      </c>
      <c r="H167" s="91" t="s">
        <v>220</v>
      </c>
      <c r="I167" s="90" t="s">
        <v>22</v>
      </c>
      <c r="J167" s="89">
        <v>0</v>
      </c>
      <c r="K167" s="89" t="s">
        <v>106</v>
      </c>
      <c r="L167" s="91">
        <f t="shared" si="74"/>
        <v>10</v>
      </c>
      <c r="M167" s="91">
        <f t="shared" si="75"/>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6">inp_Un&gt;=110</f>
        <v>1</v>
      </c>
      <c r="C168" s="88" t="b">
        <f t="shared" si="76"/>
        <v>1</v>
      </c>
      <c r="D168" s="87" t="s">
        <v>903</v>
      </c>
      <c r="E168" s="89">
        <f t="shared" si="69"/>
        <v>1.0651315789473685</v>
      </c>
      <c r="F168" s="89">
        <v>1</v>
      </c>
      <c r="G168" s="89" t="s">
        <v>106</v>
      </c>
      <c r="H168" s="91" t="s">
        <v>220</v>
      </c>
      <c r="I168" s="90" t="s">
        <v>22</v>
      </c>
      <c r="J168" s="89">
        <v>0</v>
      </c>
      <c r="K168" s="89" t="s">
        <v>106</v>
      </c>
      <c r="L168" s="91">
        <f t="shared" si="74"/>
        <v>10</v>
      </c>
      <c r="M168" s="91">
        <f t="shared" si="75"/>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6"/>
        <v>1</v>
      </c>
      <c r="C169" s="88" t="b">
        <f t="shared" si="76"/>
        <v>1</v>
      </c>
      <c r="D169" s="87" t="s">
        <v>904</v>
      </c>
      <c r="E169" s="89">
        <f t="shared" si="69"/>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6"/>
        <v>1</v>
      </c>
      <c r="C170" s="88" t="b">
        <f t="shared" si="76"/>
        <v>1</v>
      </c>
      <c r="D170" s="87" t="s">
        <v>905</v>
      </c>
      <c r="E170" s="89">
        <f t="shared" si="69"/>
        <v>1.0651315789473685</v>
      </c>
      <c r="F170" s="89">
        <v>1</v>
      </c>
      <c r="G170" s="89" t="s">
        <v>106</v>
      </c>
      <c r="H170" s="91" t="s">
        <v>220</v>
      </c>
      <c r="I170" s="90" t="s">
        <v>22</v>
      </c>
      <c r="J170" s="89">
        <v>0</v>
      </c>
      <c r="K170" s="89" t="s">
        <v>106</v>
      </c>
      <c r="L170" s="91">
        <f t="shared" ref="L170:L177" si="77">inp_scr_min</f>
        <v>10</v>
      </c>
      <c r="M170" s="91">
        <f t="shared" ref="M170:M178" si="78">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6"/>
        <v>1</v>
      </c>
      <c r="C171" s="88" t="b">
        <f t="shared" si="76"/>
        <v>1</v>
      </c>
      <c r="D171" s="87" t="s">
        <v>906</v>
      </c>
      <c r="E171" s="89">
        <f t="shared" si="69"/>
        <v>1.0651315789473685</v>
      </c>
      <c r="F171" s="89">
        <v>1</v>
      </c>
      <c r="G171" s="89" t="s">
        <v>106</v>
      </c>
      <c r="H171" s="91" t="s">
        <v>220</v>
      </c>
      <c r="I171" s="90" t="s">
        <v>22</v>
      </c>
      <c r="J171" s="89">
        <v>0</v>
      </c>
      <c r="K171" s="89" t="s">
        <v>106</v>
      </c>
      <c r="L171" s="91">
        <f t="shared" si="77"/>
        <v>10</v>
      </c>
      <c r="M171" s="91">
        <f t="shared" si="78"/>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6"/>
        <v>1</v>
      </c>
      <c r="C172" s="88" t="b">
        <f t="shared" si="76"/>
        <v>1</v>
      </c>
      <c r="D172" s="87" t="s">
        <v>907</v>
      </c>
      <c r="E172" s="89">
        <f t="shared" si="69"/>
        <v>1.0651315789473685</v>
      </c>
      <c r="F172" s="89">
        <v>1</v>
      </c>
      <c r="G172" s="89" t="s">
        <v>106</v>
      </c>
      <c r="H172" s="91" t="s">
        <v>220</v>
      </c>
      <c r="I172" s="90" t="s">
        <v>22</v>
      </c>
      <c r="J172" s="89">
        <v>0</v>
      </c>
      <c r="K172" s="89" t="s">
        <v>106</v>
      </c>
      <c r="L172" s="91">
        <f t="shared" si="77"/>
        <v>10</v>
      </c>
      <c r="M172" s="91">
        <f t="shared" si="78"/>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6"/>
        <v>1</v>
      </c>
      <c r="C173" s="88" t="b">
        <f t="shared" si="76"/>
        <v>1</v>
      </c>
      <c r="D173" s="87" t="s">
        <v>908</v>
      </c>
      <c r="E173" s="89">
        <f t="shared" si="69"/>
        <v>1.0651315789473685</v>
      </c>
      <c r="F173" s="89">
        <v>1</v>
      </c>
      <c r="G173" s="89" t="s">
        <v>106</v>
      </c>
      <c r="H173" s="91" t="s">
        <v>220</v>
      </c>
      <c r="I173" s="90" t="s">
        <v>22</v>
      </c>
      <c r="J173" s="89">
        <v>0</v>
      </c>
      <c r="K173" s="89" t="s">
        <v>106</v>
      </c>
      <c r="L173" s="91">
        <f t="shared" si="77"/>
        <v>10</v>
      </c>
      <c r="M173" s="91">
        <f t="shared" si="78"/>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6"/>
        <v>1</v>
      </c>
      <c r="C174" s="88" t="b">
        <f t="shared" si="76"/>
        <v>1</v>
      </c>
      <c r="D174" s="87" t="s">
        <v>909</v>
      </c>
      <c r="E174" s="89">
        <f t="shared" si="69"/>
        <v>1.0651315789473685</v>
      </c>
      <c r="F174" s="89">
        <v>0.7</v>
      </c>
      <c r="G174" s="89" t="s">
        <v>106</v>
      </c>
      <c r="H174" s="91" t="s">
        <v>220</v>
      </c>
      <c r="I174" s="90" t="s">
        <v>22</v>
      </c>
      <c r="J174" s="89">
        <v>0</v>
      </c>
      <c r="K174" s="89" t="s">
        <v>106</v>
      </c>
      <c r="L174" s="91">
        <f t="shared" si="77"/>
        <v>10</v>
      </c>
      <c r="M174" s="91">
        <f t="shared" si="78"/>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6"/>
        <v>1</v>
      </c>
      <c r="C175" s="88" t="b">
        <f t="shared" si="76"/>
        <v>1</v>
      </c>
      <c r="D175" s="87" t="s">
        <v>910</v>
      </c>
      <c r="E175" s="89">
        <f t="shared" si="69"/>
        <v>1.0651315789473685</v>
      </c>
      <c r="F175" s="89">
        <v>0.7</v>
      </c>
      <c r="G175" s="89" t="s">
        <v>106</v>
      </c>
      <c r="H175" s="91" t="s">
        <v>220</v>
      </c>
      <c r="I175" s="90" t="s">
        <v>22</v>
      </c>
      <c r="J175" s="89">
        <v>0</v>
      </c>
      <c r="K175" s="89" t="s">
        <v>106</v>
      </c>
      <c r="L175" s="91">
        <f t="shared" si="77"/>
        <v>10</v>
      </c>
      <c r="M175" s="91">
        <f t="shared" si="78"/>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6"/>
        <v>1</v>
      </c>
      <c r="C176" s="88" t="b">
        <f t="shared" si="76"/>
        <v>1</v>
      </c>
      <c r="D176" s="87" t="s">
        <v>911</v>
      </c>
      <c r="E176" s="89">
        <f t="shared" si="69"/>
        <v>1.0651315789473685</v>
      </c>
      <c r="F176" s="89">
        <v>0.7</v>
      </c>
      <c r="G176" s="89" t="s">
        <v>106</v>
      </c>
      <c r="H176" s="91" t="s">
        <v>220</v>
      </c>
      <c r="I176" s="90" t="s">
        <v>22</v>
      </c>
      <c r="J176" s="89">
        <v>0</v>
      </c>
      <c r="K176" s="89" t="s">
        <v>106</v>
      </c>
      <c r="L176" s="91">
        <f t="shared" si="77"/>
        <v>10</v>
      </c>
      <c r="M176" s="91">
        <f t="shared" si="78"/>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6"/>
        <v>1</v>
      </c>
      <c r="C177" s="88" t="b">
        <f t="shared" si="76"/>
        <v>1</v>
      </c>
      <c r="D177" s="87" t="s">
        <v>926</v>
      </c>
      <c r="E177" s="89">
        <f t="shared" si="69"/>
        <v>1.0651315789473685</v>
      </c>
      <c r="F177" s="89">
        <v>0.7</v>
      </c>
      <c r="G177" s="89" t="s">
        <v>106</v>
      </c>
      <c r="H177" s="91" t="s">
        <v>220</v>
      </c>
      <c r="I177" s="90" t="s">
        <v>22</v>
      </c>
      <c r="J177" s="89">
        <v>0</v>
      </c>
      <c r="K177" s="89" t="s">
        <v>106</v>
      </c>
      <c r="L177" s="91">
        <f t="shared" si="77"/>
        <v>10</v>
      </c>
      <c r="M177" s="91">
        <f t="shared" si="78"/>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6"/>
        <v>1</v>
      </c>
      <c r="C178" s="88" t="b">
        <f t="shared" si="76"/>
        <v>1</v>
      </c>
      <c r="D178" s="87" t="s">
        <v>912</v>
      </c>
      <c r="E178" s="89">
        <f t="shared" si="69"/>
        <v>1.0651315789473685</v>
      </c>
      <c r="F178" s="89">
        <v>1</v>
      </c>
      <c r="G178" s="89" t="s">
        <v>106</v>
      </c>
      <c r="H178" s="91" t="s">
        <v>220</v>
      </c>
      <c r="I178" s="90" t="s">
        <v>22</v>
      </c>
      <c r="J178" s="89">
        <v>0</v>
      </c>
      <c r="K178" s="89" t="s">
        <v>106</v>
      </c>
      <c r="L178" s="91">
        <f>inp_scr_min</f>
        <v>10</v>
      </c>
      <c r="M178" s="91">
        <f t="shared" si="78"/>
        <v>10</v>
      </c>
      <c r="N178" s="91" t="s">
        <v>930</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913</v>
      </c>
      <c r="B3" s="113" t="s">
        <v>916</v>
      </c>
      <c r="C3" s="113" t="s">
        <v>917</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914</v>
      </c>
      <c r="B5" s="113" t="s">
        <v>915</v>
      </c>
      <c r="C5" s="113" t="s">
        <v>918</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74B21D61-7BBD-4BD3-A9A5-1E8F98F2F68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2026-01-05T13:12:01Z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