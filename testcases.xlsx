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energinet.local\endk_funktion\Dynsim\13_Medarbejdermapper\CVL\MTB\"/>
    </mc:Choice>
  </mc:AlternateContent>
  <xr:revisionPtr revIDLastSave="0" documentId="13_ncr:1_{6239B9A6-BE5A-4673-90F0-BB2FD5B8217A}" xr6:coauthVersionLast="47" xr6:coauthVersionMax="47" xr10:uidLastSave="{00000000-0000-0000-0000-000000000000}"/>
  <bookViews>
    <workbookView xWindow="-120" yWindow="-120" windowWidth="51840" windowHeight="21120" tabRatio="822" xr2:uid="{00000000-000D-0000-FFFF-FFFF00000000}"/>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externalReferences>
    <externalReference r:id="rId15"/>
    <externalReference r:id="rId16"/>
    <externalReference r:id="rId17"/>
    <externalReference r:id="rId18"/>
  </externalReferences>
  <definedNames>
    <definedName name="_xlnm._FilterDatabase" localSheetId="5" hidden="1">'Co-located cases'!$A$2:$BQ$178</definedName>
    <definedName name="_xlnm._FilterDatabase" localSheetId="6" hidden="1">'Custom cases'!$A$2:$BK$2</definedName>
    <definedName name="_xlnm._FilterDatabase" localSheetId="3" hidden="1">'DCC cases'!$A$2:$BJ$2</definedName>
    <definedName name="_xlnm._FilterDatabase" localSheetId="2" hidden="1">'RfG cases'!$A$2:$BK$178</definedName>
    <definedName name="_xlnm._FilterDatabase" localSheetId="0" hidden="1">Settings!$A$5:$E$5</definedName>
    <definedName name="_xlnm._FilterDatabase" localSheetId="4" hidden="1">'Unit cases'!$A$2:$BK$2</definedName>
    <definedName name="inp_Area" localSheetId="11">[1]Settings!$B$8</definedName>
    <definedName name="inp_Area" localSheetId="12">[2]Settings!$B$8</definedName>
    <definedName name="inp_Area" localSheetId="9">[2]Settings!$B$8</definedName>
    <definedName name="inp_Area" localSheetId="8">[2]Settings!$B$8</definedName>
    <definedName name="inp_Area" localSheetId="0">Settings!$B$28</definedName>
    <definedName name="inp_Area" localSheetId="10">[2]Settings!$B$8</definedName>
    <definedName name="inp_Area">Settings!$B$28</definedName>
    <definedName name="inp_default" localSheetId="11">[1]Settings!$B$18</definedName>
    <definedName name="inp_default" localSheetId="12">[2]Settings!$B$18</definedName>
    <definedName name="inp_default" localSheetId="9">[2]Settings!$B$18</definedName>
    <definedName name="inp_default" localSheetId="8">[2]Settings!$B$18</definedName>
    <definedName name="inp_default" localSheetId="0">Settings!$B$41</definedName>
    <definedName name="inp_default" localSheetId="10">[2]Settings!$B$18</definedName>
    <definedName name="inp_default">Settings!$B$41</definedName>
    <definedName name="inp_fsm_droop" localSheetId="11">[3]Settings!$B$30</definedName>
    <definedName name="inp_fsm_droop" localSheetId="0">Settings!$B$30</definedName>
    <definedName name="inp_fsm_droop">Settings!$B$30</definedName>
    <definedName name="inp_init" localSheetId="0">Settings!$B$43</definedName>
    <definedName name="inp_init">Settings!$B$43</definedName>
    <definedName name="inp_scr_max" localSheetId="11">[1]Settings!$B$11</definedName>
    <definedName name="inp_scr_max" localSheetId="12">[2]Settings!$B$11</definedName>
    <definedName name="inp_scr_max" localSheetId="9">[2]Settings!$B$11</definedName>
    <definedName name="inp_scr_max" localSheetId="8">[2]Settings!$B$11</definedName>
    <definedName name="inp_scr_max" localSheetId="0">Settings!$B$33</definedName>
    <definedName name="inp_scr_max" localSheetId="10">[2]Settings!$B$11</definedName>
    <definedName name="inp_scr_max">Settings!$B$33</definedName>
    <definedName name="inp_scr_max_1" localSheetId="0">Settings!$B$33</definedName>
    <definedName name="inp_scr_max_1">Settings!$B$33</definedName>
    <definedName name="inp_scr_min" localSheetId="11">[1]Settings!$B$9</definedName>
    <definedName name="inp_scr_min" localSheetId="12">[2]Settings!$B$9</definedName>
    <definedName name="inp_scr_min" localSheetId="9">[2]Settings!$B$9</definedName>
    <definedName name="inp_scr_min" localSheetId="8">[2]Settings!$B$9</definedName>
    <definedName name="inp_scr_min" localSheetId="0">Settings!$B$31</definedName>
    <definedName name="inp_scr_min" localSheetId="10">[2]Settings!$B$9</definedName>
    <definedName name="inp_scr_min">Settings!$B$31</definedName>
    <definedName name="inp_scr_min_1" localSheetId="0">Settings!$B$31</definedName>
    <definedName name="inp_scr_min_1">Settings!$B$31</definedName>
    <definedName name="inp_scr_tun" localSheetId="11">[1]Settings!$B$10</definedName>
    <definedName name="inp_scr_tun" localSheetId="12">[2]Settings!$B$10</definedName>
    <definedName name="inp_scr_tun" localSheetId="9">[2]Settings!$B$10</definedName>
    <definedName name="inp_scr_tun" localSheetId="8">[2]Settings!$B$10</definedName>
    <definedName name="inp_scr_tun" localSheetId="0">Settings!$B$32</definedName>
    <definedName name="inp_scr_tun" localSheetId="10">[2]Settings!$B$10</definedName>
    <definedName name="inp_scr_tun">Settings!$B$32</definedName>
    <definedName name="inp_scr_tun_1" localSheetId="0">Settings!$B$32</definedName>
    <definedName name="inp_scr_tun_1">Settings!$B$32</definedName>
    <definedName name="inp_Uc" localSheetId="11">[1]Settings!$B$6</definedName>
    <definedName name="inp_Uc" localSheetId="12">[2]Settings!$B$6</definedName>
    <definedName name="inp_Uc" localSheetId="9">[2]Settings!$B$6</definedName>
    <definedName name="inp_Uc" localSheetId="8">[2]Settings!$B$6</definedName>
    <definedName name="inp_Uc" localSheetId="0">Settings!$B$26</definedName>
    <definedName name="inp_Uc" localSheetId="10">[2]Settings!$B$6</definedName>
    <definedName name="inp_Uc">Settings!$B$7</definedName>
    <definedName name="inp_Uc_1" localSheetId="0">Settings!$B$26</definedName>
    <definedName name="inp_Uc_1">Settings!$B$7</definedName>
    <definedName name="inp_Un" localSheetId="11">#REF!</definedName>
    <definedName name="inp_Un" localSheetId="12">[4]Settings!$B$7</definedName>
    <definedName name="inp_Un" localSheetId="9">[4]Settings!$B$7</definedName>
    <definedName name="inp_Un" localSheetId="8">#REF!</definedName>
    <definedName name="inp_Un" localSheetId="0">Settings!$B$27</definedName>
    <definedName name="inp_Un" localSheetId="10">[4]Settings!$B$7</definedName>
    <definedName name="inp_Un">Settings!$B$8</definedName>
    <definedName name="inp_Un_1" localSheetId="0">Settings!$B$27</definedName>
    <definedName name="inp_Un_1">Settings!$B$8</definedName>
    <definedName name="inp_Vdroop" localSheetId="11">[1]Settings!$B$12</definedName>
    <definedName name="inp_Vdroop" localSheetId="12">[2]Settings!$B$12</definedName>
    <definedName name="inp_Vdroop" localSheetId="9">[2]Settings!$B$12</definedName>
    <definedName name="inp_Vdroop" localSheetId="8">[2]Settings!$B$12</definedName>
    <definedName name="inp_Vdroop" localSheetId="0">Settings!$B$34</definedName>
    <definedName name="inp_Vdroop" localSheetId="10">[2]Settings!$B$12</definedName>
    <definedName name="inp_Vdroop">Settings!$B$15</definedName>
    <definedName name="inp_Vdroop_1" localSheetId="0">Settings!$B$34</definedName>
    <definedName name="inp_Vdroop_1">Settings!$B$15</definedName>
    <definedName name="inp_xr_max" localSheetId="11">[1]Settings!$B$15</definedName>
    <definedName name="inp_xr_max" localSheetId="12">[2]Settings!$B$15</definedName>
    <definedName name="inp_xr_max" localSheetId="9">[2]Settings!$B$15</definedName>
    <definedName name="inp_xr_max" localSheetId="8">[2]Settings!$B$15</definedName>
    <definedName name="inp_xr_max" localSheetId="0">Settings!$B$37</definedName>
    <definedName name="inp_xr_max" localSheetId="10">[2]Settings!$B$15</definedName>
    <definedName name="inp_xr_max">Settings!$B$18</definedName>
    <definedName name="inp_xr_max_1" localSheetId="0">Settings!$B$37</definedName>
    <definedName name="inp_xr_max_1">Settings!$B$18</definedName>
    <definedName name="inp_xr_min" localSheetId="11">[1]Settings!$B$13</definedName>
    <definedName name="inp_xr_min" localSheetId="12">[2]Settings!$B$13</definedName>
    <definedName name="inp_xr_min" localSheetId="9">[2]Settings!$B$13</definedName>
    <definedName name="inp_xr_min" localSheetId="8">[2]Settings!$B$13</definedName>
    <definedName name="inp_xr_min" localSheetId="0">Settings!$B$35</definedName>
    <definedName name="inp_xr_min" localSheetId="10">[2]Settings!$B$13</definedName>
    <definedName name="inp_xr_min">Settings!$B$16</definedName>
    <definedName name="inp_xr_min_1" localSheetId="0">Settings!$B$35</definedName>
    <definedName name="inp_xr_min_1">Settings!$B$16</definedName>
    <definedName name="inp_xr_tun" localSheetId="11">[1]Settings!$B$14</definedName>
    <definedName name="inp_xr_tun" localSheetId="12">[2]Settings!$B$14</definedName>
    <definedName name="inp_xr_tun" localSheetId="9">[2]Settings!$B$14</definedName>
    <definedName name="inp_xr_tun" localSheetId="8">[2]Settings!$B$14</definedName>
    <definedName name="inp_xr_tun" localSheetId="0">Settings!$B$36</definedName>
    <definedName name="inp_xr_tun" localSheetId="10">[2]Settings!$B$14</definedName>
    <definedName name="inp_xr_tun">Settings!$B$17</definedName>
    <definedName name="inp_xr_tun_1" localSheetId="0">Settings!$B$36</definedName>
    <definedName name="inp_xr_tun_1">Settings!$B$17</definedName>
    <definedName name="prot_dFneg" localSheetId="11">[1]Settings!#REF!</definedName>
    <definedName name="prot_dFneg" localSheetId="12">[2]Settings!#REF!</definedName>
    <definedName name="prot_dFneg" localSheetId="9">[2]Settings!#REF!</definedName>
    <definedName name="prot_dFneg" localSheetId="8">[2]Settings!#REF!</definedName>
    <definedName name="prot_dFneg" localSheetId="0">Settings!#REF!</definedName>
    <definedName name="prot_dFneg" localSheetId="10">[2]Settings!#REF!</definedName>
    <definedName name="prot_dFneg">#REF!</definedName>
    <definedName name="prot_dFneg_t" localSheetId="11">[1]Settings!#REF!</definedName>
    <definedName name="prot_dFneg_t" localSheetId="12">[2]Settings!#REF!</definedName>
    <definedName name="prot_dFneg_t" localSheetId="9">[2]Settings!#REF!</definedName>
    <definedName name="prot_dFneg_t" localSheetId="8">[2]Settings!#REF!</definedName>
    <definedName name="prot_dFneg_t" localSheetId="0">Settings!#REF!</definedName>
    <definedName name="prot_dFneg_t" localSheetId="10">[2]Settings!#REF!</definedName>
    <definedName name="prot_dFneg_t">#REF!</definedName>
    <definedName name="prot_dFpos" localSheetId="11">[1]Settings!#REF!</definedName>
    <definedName name="prot_dFpos" localSheetId="12">[2]Settings!#REF!</definedName>
    <definedName name="prot_dFpos" localSheetId="9">[2]Settings!#REF!</definedName>
    <definedName name="prot_dFpos" localSheetId="8">[2]Settings!#REF!</definedName>
    <definedName name="prot_dFpos" localSheetId="0">Settings!#REF!</definedName>
    <definedName name="prot_dFpos" localSheetId="10">[2]Settings!#REF!</definedName>
    <definedName name="prot_dFpos">#REF!</definedName>
    <definedName name="prot_dFpos_t" localSheetId="11">[1]Settings!#REF!</definedName>
    <definedName name="prot_dFpos_t" localSheetId="12">[2]Settings!#REF!</definedName>
    <definedName name="prot_dFpos_t" localSheetId="9">[2]Settings!#REF!</definedName>
    <definedName name="prot_dFpos_t" localSheetId="8">[2]Settings!#REF!</definedName>
    <definedName name="prot_dFpos_t" localSheetId="0">Settings!#REF!</definedName>
    <definedName name="prot_dFpos_t" localSheetId="10">[2]Settings!#REF!</definedName>
    <definedName name="prot_dFpos_t">#REF!</definedName>
    <definedName name="prot_Fo" localSheetId="11">[1]Settings!#REF!</definedName>
    <definedName name="prot_Fo" localSheetId="12">[2]Settings!#REF!</definedName>
    <definedName name="prot_Fo" localSheetId="9">[2]Settings!#REF!</definedName>
    <definedName name="prot_Fo" localSheetId="8">[2]Settings!#REF!</definedName>
    <definedName name="prot_Fo" localSheetId="0">Settings!#REF!</definedName>
    <definedName name="prot_Fo" localSheetId="10">[2]Settings!#REF!</definedName>
    <definedName name="prot_Fo">#REF!</definedName>
    <definedName name="prot_Fo_t" localSheetId="11">[1]Settings!#REF!</definedName>
    <definedName name="prot_Fo_t" localSheetId="12">[2]Settings!#REF!</definedName>
    <definedName name="prot_Fo_t" localSheetId="9">[2]Settings!#REF!</definedName>
    <definedName name="prot_Fo_t" localSheetId="8">[2]Settings!#REF!</definedName>
    <definedName name="prot_Fo_t" localSheetId="0">Settings!#REF!</definedName>
    <definedName name="prot_Fo_t" localSheetId="10">[2]Settings!#REF!</definedName>
    <definedName name="prot_Fo_t">#REF!</definedName>
    <definedName name="prot_Fu" localSheetId="11">[1]Settings!#REF!</definedName>
    <definedName name="prot_Fu" localSheetId="12">[2]Settings!#REF!</definedName>
    <definedName name="prot_Fu" localSheetId="9">[2]Settings!#REF!</definedName>
    <definedName name="prot_Fu" localSheetId="8">[2]Settings!#REF!</definedName>
    <definedName name="prot_Fu" localSheetId="0">Settings!#REF!</definedName>
    <definedName name="prot_Fu" localSheetId="10">[2]Settings!#REF!</definedName>
    <definedName name="prot_Fu">#REF!</definedName>
    <definedName name="prot_Fu_t" localSheetId="11">[1]Settings!#REF!</definedName>
    <definedName name="prot_Fu_t" localSheetId="12">[2]Settings!#REF!</definedName>
    <definedName name="prot_Fu_t" localSheetId="9">[2]Settings!#REF!</definedName>
    <definedName name="prot_Fu_t" localSheetId="8">[2]Settings!#REF!</definedName>
    <definedName name="prot_Fu_t" localSheetId="0">Settings!#REF!</definedName>
    <definedName name="prot_Fu_t" localSheetId="10">[2]Settings!#REF!</definedName>
    <definedName name="prot_Fu_t">#REF!</definedName>
    <definedName name="prot_Uo1" localSheetId="11">[1]Settings!#REF!</definedName>
    <definedName name="prot_Uo1" localSheetId="12">[2]Settings!#REF!</definedName>
    <definedName name="prot_Uo1" localSheetId="9">[2]Settings!#REF!</definedName>
    <definedName name="prot_Uo1" localSheetId="8">[2]Settings!#REF!</definedName>
    <definedName name="prot_Uo1" localSheetId="0">Settings!#REF!</definedName>
    <definedName name="prot_Uo1" localSheetId="10">[2]Settings!#REF!</definedName>
    <definedName name="prot_Uo1">#REF!</definedName>
    <definedName name="prot_Uo1_t" localSheetId="11">[1]Settings!#REF!</definedName>
    <definedName name="prot_Uo1_t" localSheetId="12">[2]Settings!#REF!</definedName>
    <definedName name="prot_Uo1_t" localSheetId="9">[2]Settings!#REF!</definedName>
    <definedName name="prot_Uo1_t" localSheetId="8">[2]Settings!#REF!</definedName>
    <definedName name="prot_Uo1_t" localSheetId="0">Settings!#REF!</definedName>
    <definedName name="prot_Uo1_t" localSheetId="10">[2]Settings!#REF!</definedName>
    <definedName name="prot_Uo1_t">#REF!</definedName>
    <definedName name="prot_Uo2" localSheetId="11">[1]Settings!#REF!</definedName>
    <definedName name="prot_Uo2" localSheetId="12">[2]Settings!#REF!</definedName>
    <definedName name="prot_Uo2" localSheetId="9">[2]Settings!#REF!</definedName>
    <definedName name="prot_Uo2" localSheetId="8">[2]Settings!#REF!</definedName>
    <definedName name="prot_Uo2" localSheetId="0">Settings!#REF!</definedName>
    <definedName name="prot_Uo2" localSheetId="10">[2]Settings!#REF!</definedName>
    <definedName name="prot_Uo2">#REF!</definedName>
    <definedName name="prot_Uo2_t" localSheetId="11">[1]Settings!#REF!</definedName>
    <definedName name="prot_Uo2_t" localSheetId="12">[2]Settings!#REF!</definedName>
    <definedName name="prot_Uo2_t" localSheetId="9">[2]Settings!#REF!</definedName>
    <definedName name="prot_Uo2_t" localSheetId="8">[2]Settings!#REF!</definedName>
    <definedName name="prot_Uo2_t" localSheetId="0">Settings!#REF!</definedName>
    <definedName name="prot_Uo2_t" localSheetId="10">[2]Settings!#REF!</definedName>
    <definedName name="prot_Uo2_t">#REF!</definedName>
    <definedName name="prot_Uo3" localSheetId="11">[1]Settings!#REF!</definedName>
    <definedName name="prot_Uo3" localSheetId="12">[2]Settings!#REF!</definedName>
    <definedName name="prot_Uo3" localSheetId="9">[2]Settings!#REF!</definedName>
    <definedName name="prot_Uo3" localSheetId="8">[2]Settings!#REF!</definedName>
    <definedName name="prot_Uo3" localSheetId="0">Settings!#REF!</definedName>
    <definedName name="prot_Uo3" localSheetId="10">[2]Settings!#REF!</definedName>
    <definedName name="prot_Uo3">#REF!</definedName>
    <definedName name="prot_Uo3_t" localSheetId="11">[1]Settings!#REF!</definedName>
    <definedName name="prot_Uo3_t" localSheetId="12">[2]Settings!#REF!</definedName>
    <definedName name="prot_Uo3_t" localSheetId="9">[2]Settings!#REF!</definedName>
    <definedName name="prot_Uo3_t" localSheetId="8">[2]Settings!#REF!</definedName>
    <definedName name="prot_Uo3_t" localSheetId="0">Settings!#REF!</definedName>
    <definedName name="prot_Uo3_t" localSheetId="10">[2]Settings!#REF!</definedName>
    <definedName name="prot_Uo3_t">#REF!</definedName>
    <definedName name="prot_Uu" localSheetId="11">[1]Settings!#REF!</definedName>
    <definedName name="prot_Uu" localSheetId="12">[2]Settings!#REF!</definedName>
    <definedName name="prot_Uu" localSheetId="9">[2]Settings!#REF!</definedName>
    <definedName name="prot_Uu" localSheetId="8">[2]Settings!#REF!</definedName>
    <definedName name="prot_Uu" localSheetId="0">Settings!#REF!</definedName>
    <definedName name="prot_Uu" localSheetId="10">[2]Settings!#REF!</definedName>
    <definedName name="prot_Uu">#REF!</definedName>
    <definedName name="prot_Uu_t" localSheetId="11">[1]Settings!#REF!</definedName>
    <definedName name="prot_Uu_t" localSheetId="12">[2]Settings!#REF!</definedName>
    <definedName name="prot_Uu_t" localSheetId="9">[2]Settings!#REF!</definedName>
    <definedName name="prot_Uu_t" localSheetId="8">[2]Settings!#REF!</definedName>
    <definedName name="prot_Uu_t" localSheetId="0">Settings!#REF!</definedName>
    <definedName name="prot_Uu_t" localSheetId="10">[2]Settings!#REF!</definedName>
    <definedName name="prot_Uu_t">#REF!</definedName>
    <definedName name="sel_30min_fmax" localSheetId="11">'[1]Area values'!$H$11</definedName>
    <definedName name="sel_30min_fmax" localSheetId="12">'[2]Area values'!$H$11</definedName>
    <definedName name="sel_30min_fmax" localSheetId="9">'[2]Area values'!$H$11</definedName>
    <definedName name="sel_30min_fmax" localSheetId="8">'[2]Area values'!$H$11</definedName>
    <definedName name="sel_30min_fmax" localSheetId="0">'[3]Area values'!$H$11</definedName>
    <definedName name="sel_30min_fmax" localSheetId="10">'[2]Area values'!$H$11</definedName>
    <definedName name="sel_30min_fmax">'Area values'!$H$11</definedName>
    <definedName name="sel_30min_fmin">'Area values'!$H$12</definedName>
    <definedName name="sel_60min_umax" localSheetId="11">'[1]Area values'!$H$22</definedName>
    <definedName name="sel_60min_umax" localSheetId="12">'[2]Area values'!$H$22</definedName>
    <definedName name="sel_60min_umax" localSheetId="9">'[2]Area values'!$H$22</definedName>
    <definedName name="sel_60min_umax" localSheetId="8">'[2]Area values'!$H$22</definedName>
    <definedName name="sel_60min_umax" localSheetId="0">'[3]Area values'!$H$22</definedName>
    <definedName name="sel_60min_umax" localSheetId="10">'[2]Area values'!$H$22</definedName>
    <definedName name="sel_60min_umax">'Area values'!$H$22</definedName>
    <definedName name="sel_60min_umin" localSheetId="11">'[1]Area values'!$H$23</definedName>
    <definedName name="sel_60min_umin" localSheetId="12">'[2]Area values'!$H$23</definedName>
    <definedName name="sel_60min_umin" localSheetId="9">'[2]Area values'!$H$23</definedName>
    <definedName name="sel_60min_umin" localSheetId="8">'[2]Area values'!$H$23</definedName>
    <definedName name="sel_60min_umin" localSheetId="0">'[3]Area values'!$H$23</definedName>
    <definedName name="sel_60min_umin" localSheetId="10">'[2]Area values'!$H$23</definedName>
    <definedName name="sel_60min_umin">'Area values'!$H$23</definedName>
    <definedName name="sel_contop_umax">'Area values'!$H$20</definedName>
    <definedName name="sel_contop_umin" localSheetId="11">'[1]Area values'!$H$21</definedName>
    <definedName name="sel_contop_umin" localSheetId="12">'[2]Area values'!$H$21</definedName>
    <definedName name="sel_contop_umin" localSheetId="9">'[2]Area values'!$H$21</definedName>
    <definedName name="sel_contop_umin" localSheetId="8">'[2]Area values'!$H$21</definedName>
    <definedName name="sel_contop_umin" localSheetId="0">'[3]Area values'!$H$21</definedName>
    <definedName name="sel_contop_umin" localSheetId="10">'[2]Area values'!$H$21</definedName>
    <definedName name="sel_contop_umin">'Area values'!$H$21</definedName>
    <definedName name="sel_fsm_db" localSheetId="11">'[1]Area values'!$H$8</definedName>
    <definedName name="sel_fsm_db" localSheetId="12">'[2]Area values'!$H$8</definedName>
    <definedName name="sel_fsm_db" localSheetId="9">'[2]Area values'!$H$8</definedName>
    <definedName name="sel_fsm_db" localSheetId="8">'[2]Area values'!$H$8</definedName>
    <definedName name="sel_fsm_db" localSheetId="0">'[3]Area values'!$H$8</definedName>
    <definedName name="sel_fsm_db" localSheetId="10">'[2]Area values'!$H$8</definedName>
    <definedName name="sel_fsm_db">'Area values'!$H$8</definedName>
    <definedName name="sel_fsm_droop" localSheetId="11">'[1]Area values'!$H$9</definedName>
    <definedName name="sel_fsm_droop" localSheetId="12">'[2]Area values'!$H$9</definedName>
    <definedName name="sel_fsm_droop" localSheetId="9">'[2]Area values'!$H$9</definedName>
    <definedName name="sel_fsm_droop" localSheetId="8">'[2]Area values'!$H$9</definedName>
    <definedName name="sel_fsm_droop" localSheetId="10">'[2]Area values'!$H$9</definedName>
    <definedName name="sel_fsm_droop">'Area values'!$H$9</definedName>
    <definedName name="sel_fsm_prov" localSheetId="11">'[1]Area values'!$H$10</definedName>
    <definedName name="sel_fsm_prov" localSheetId="12">'[2]Area values'!$H$10</definedName>
    <definedName name="sel_fsm_prov" localSheetId="9">'[2]Area values'!$H$10</definedName>
    <definedName name="sel_fsm_prov" localSheetId="8">'[2]Area values'!$H$10</definedName>
    <definedName name="sel_fsm_prov" localSheetId="0">'[3]Area values'!$H$10</definedName>
    <definedName name="sel_fsm_prov" localSheetId="10">'[2]Area values'!$H$10</definedName>
    <definedName name="sel_fsm_prov">'Area values'!$H$10</definedName>
    <definedName name="sel_lfsmo_droop" localSheetId="11">'[1]Area values'!$H$5</definedName>
    <definedName name="sel_lfsmo_droop" localSheetId="12">'[2]Area values'!$H$5</definedName>
    <definedName name="sel_lfsmo_droop" localSheetId="9">'[2]Area values'!$H$5</definedName>
    <definedName name="sel_lfsmo_droop" localSheetId="8">'[2]Area values'!$H$5</definedName>
    <definedName name="sel_lfsmo_droop" localSheetId="0">'[3]Area values'!$H$5</definedName>
    <definedName name="sel_lfsmo_droop" localSheetId="10">'[2]Area values'!$H$5</definedName>
    <definedName name="sel_lfsmo_droop">'Area values'!$H$5</definedName>
    <definedName name="sel_lfsmo_start" localSheetId="11">'[1]Area values'!$H$4</definedName>
    <definedName name="sel_lfsmo_start" localSheetId="12">'[2]Area values'!$H$4</definedName>
    <definedName name="sel_lfsmo_start" localSheetId="9">'[2]Area values'!$H$4</definedName>
    <definedName name="sel_lfsmo_start" localSheetId="8">'[2]Area values'!$H$4</definedName>
    <definedName name="sel_lfsmo_start" localSheetId="0">'[3]Area values'!$H$4</definedName>
    <definedName name="sel_lfsmo_start" localSheetId="10">'[2]Area values'!$H$4</definedName>
    <definedName name="sel_lfsmo_start">'Area values'!$H$4</definedName>
    <definedName name="sel_lfsmu_droop" localSheetId="11">'[1]Area values'!$H$7</definedName>
    <definedName name="sel_lfsmu_droop" localSheetId="12">'[2]Area values'!$H$7</definedName>
    <definedName name="sel_lfsmu_droop" localSheetId="9">'[2]Area values'!$H$7</definedName>
    <definedName name="sel_lfsmu_droop" localSheetId="8">'[2]Area values'!$H$7</definedName>
    <definedName name="sel_lfsmu_droop" localSheetId="0">'[3]Area values'!$H$7</definedName>
    <definedName name="sel_lfsmu_droop" localSheetId="10">'[2]Area values'!$H$7</definedName>
    <definedName name="sel_lfsmu_droop">'Area values'!$H$7</definedName>
    <definedName name="sel_lfsmu_start" localSheetId="11">'[1]Area values'!$H$6</definedName>
    <definedName name="sel_lfsmu_start" localSheetId="12">'[2]Area values'!$H$6</definedName>
    <definedName name="sel_lfsmu_start" localSheetId="9">'[2]Area values'!$H$6</definedName>
    <definedName name="sel_lfsmu_start" localSheetId="8">'[2]Area values'!$H$6</definedName>
    <definedName name="sel_lfsmu_start" localSheetId="0">'[3]Area values'!$H$6</definedName>
    <definedName name="sel_lfsmu_start" localSheetId="10">'[2]Area values'!$H$6</definedName>
    <definedName name="sel_lfsmu_start">'Area values'!$H$6</definedName>
    <definedName name="sel_lvfrt_start" localSheetId="11">'[1]Area values'!$H$25</definedName>
    <definedName name="sel_lvfrt_start" localSheetId="12">'[2]Area values'!$H$25</definedName>
    <definedName name="sel_lvfrt_start" localSheetId="9">'[2]Area values'!$H$25</definedName>
    <definedName name="sel_lvfrt_start" localSheetId="8">'[2]Area values'!$H$25</definedName>
    <definedName name="sel_lvfrt_start" localSheetId="0">'[3]Area values'!$H$25</definedName>
    <definedName name="sel_lvfrt_start" localSheetId="10">'[2]Area values'!$H$25</definedName>
    <definedName name="sel_lvfrt_start">'Area values'!$H$25</definedName>
    <definedName name="sel_lvfrt_stop" localSheetId="11">'[3]Area values'!$H$26</definedName>
    <definedName name="sel_lvfrt_stop" localSheetId="0">'[3]Area values'!$H$26</definedName>
    <definedName name="sel_lvfrt_stop">'Area values'!$H$26</definedName>
    <definedName name="sel_t1" localSheetId="11">'[1]Area values'!$H$37</definedName>
    <definedName name="sel_t1" localSheetId="12">'[2]Area values'!$H$37</definedName>
    <definedName name="sel_t1" localSheetId="9">'[2]Area values'!$H$37</definedName>
    <definedName name="sel_t1" localSheetId="8">'[2]Area values'!$H$37</definedName>
    <definedName name="sel_t1" localSheetId="0">'[3]Area values'!$H$37</definedName>
    <definedName name="sel_t1" localSheetId="10">'[2]Area values'!$H$37</definedName>
    <definedName name="sel_t1">'Area values'!$H$37</definedName>
    <definedName name="sel_t2" localSheetId="11">'[1]Area values'!$H$39</definedName>
    <definedName name="sel_t2" localSheetId="12">'[2]Area values'!$H$39</definedName>
    <definedName name="sel_t2" localSheetId="9">'[2]Area values'!$H$39</definedName>
    <definedName name="sel_t2" localSheetId="8">'[2]Area values'!$H$39</definedName>
    <definedName name="sel_t2" localSheetId="0">'[3]Area values'!$H$39</definedName>
    <definedName name="sel_t2" localSheetId="10">'[2]Area values'!$H$39</definedName>
    <definedName name="sel_t2">'Area values'!$H$39</definedName>
    <definedName name="sel_tclear" localSheetId="11">'[1]Area values'!$H$28</definedName>
    <definedName name="sel_tclear" localSheetId="12">'[2]Area values'!$H$28</definedName>
    <definedName name="sel_tclear" localSheetId="9">'[2]Area values'!$H$28</definedName>
    <definedName name="sel_tclear" localSheetId="8">'[2]Area values'!$H$28</definedName>
    <definedName name="sel_tclear" localSheetId="0">'[3]Area values'!$H$28</definedName>
    <definedName name="sel_tclear" localSheetId="10">'[2]Area values'!$H$28</definedName>
    <definedName name="sel_tclear">'Area values'!$H$28</definedName>
    <definedName name="sel_trec1" localSheetId="11">'[1]Area values'!$H$30</definedName>
    <definedName name="sel_trec1" localSheetId="12">'[2]Area values'!$H$30</definedName>
    <definedName name="sel_trec1" localSheetId="9">'[2]Area values'!$H$30</definedName>
    <definedName name="sel_trec1" localSheetId="8">'[2]Area values'!$H$30</definedName>
    <definedName name="sel_trec1" localSheetId="0">'[3]Area values'!$H$30</definedName>
    <definedName name="sel_trec1" localSheetId="10">'[2]Area values'!$H$30</definedName>
    <definedName name="sel_trec1">'Area values'!$H$30</definedName>
    <definedName name="sel_trec2" localSheetId="11">'[1]Area values'!$H$32</definedName>
    <definedName name="sel_trec2" localSheetId="12">'[2]Area values'!$H$32</definedName>
    <definedName name="sel_trec2" localSheetId="9">'[2]Area values'!$H$32</definedName>
    <definedName name="sel_trec2" localSheetId="8">'[2]Area values'!$H$32</definedName>
    <definedName name="sel_trec2" localSheetId="0">'[3]Area values'!$H$32</definedName>
    <definedName name="sel_trec2" localSheetId="10">'[2]Area values'!$H$32</definedName>
    <definedName name="sel_trec2">'Area values'!$H$32</definedName>
    <definedName name="sel_trec3" localSheetId="11">'[1]Area values'!$H$34</definedName>
    <definedName name="sel_trec3" localSheetId="12">'[2]Area values'!$H$34</definedName>
    <definedName name="sel_trec3" localSheetId="9">'[2]Area values'!$H$34</definedName>
    <definedName name="sel_trec3" localSheetId="8">'[2]Area values'!$H$34</definedName>
    <definedName name="sel_trec3" localSheetId="0">'[3]Area values'!$H$34</definedName>
    <definedName name="sel_trec3" localSheetId="10">'[2]Area values'!$H$34</definedName>
    <definedName name="sel_trec3">'Area values'!$H$34</definedName>
    <definedName name="sel_u1" localSheetId="11">'[1]Area values'!$H$36</definedName>
    <definedName name="sel_u1" localSheetId="12">'[2]Area values'!$H$36</definedName>
    <definedName name="sel_u1" localSheetId="9">'[2]Area values'!$H$36</definedName>
    <definedName name="sel_u1" localSheetId="8">'[2]Area values'!$H$36</definedName>
    <definedName name="sel_u1" localSheetId="0">'[3]Area values'!$H$36</definedName>
    <definedName name="sel_u1" localSheetId="10">'[2]Area values'!$H$36</definedName>
    <definedName name="sel_u1">'Area values'!$H$36</definedName>
    <definedName name="sel_u2" localSheetId="11">'[1]Area values'!$H$38</definedName>
    <definedName name="sel_u2" localSheetId="12">'[2]Area values'!$H$38</definedName>
    <definedName name="sel_u2" localSheetId="9">'[2]Area values'!$H$38</definedName>
    <definedName name="sel_u2" localSheetId="8">'[2]Area values'!$H$38</definedName>
    <definedName name="sel_u2" localSheetId="0">'[3]Area values'!$H$38</definedName>
    <definedName name="sel_u2" localSheetId="10">'[2]Area values'!$H$38</definedName>
    <definedName name="sel_u2">'Area values'!$H$38</definedName>
    <definedName name="sel_uclear" localSheetId="11">'[1]Area values'!$H$29</definedName>
    <definedName name="sel_uclear" localSheetId="12">'[2]Area values'!$H$29</definedName>
    <definedName name="sel_uclear" localSheetId="9">'[2]Area values'!$H$29</definedName>
    <definedName name="sel_uclear" localSheetId="8">'[2]Area values'!$H$29</definedName>
    <definedName name="sel_uclear" localSheetId="0">'[3]Area values'!$H$29</definedName>
    <definedName name="sel_uclear" localSheetId="10">'[2]Area values'!$H$29</definedName>
    <definedName name="sel_uclear">'Area values'!$H$29</definedName>
    <definedName name="sel_uq_q0.33_umax" localSheetId="11">'[1]Area values'!$H$16</definedName>
    <definedName name="sel_uq_q0.33_umax" localSheetId="12">'[2]Area values'!$H$16</definedName>
    <definedName name="sel_uq_q0.33_umax" localSheetId="9">'[2]Area values'!$H$16</definedName>
    <definedName name="sel_uq_q0.33_umax" localSheetId="8">'[2]Area values'!$H$16</definedName>
    <definedName name="sel_uq_q0.33_umax" localSheetId="0">'[3]Area values'!$H$16</definedName>
    <definedName name="sel_uq_q0.33_umax" localSheetId="10">'[2]Area values'!$H$16</definedName>
    <definedName name="sel_uq_q0.33_umax">'Area values'!$H$16</definedName>
    <definedName name="sel_uq_q0.33_umin" localSheetId="11">'[1]Area values'!$H$17</definedName>
    <definedName name="sel_uq_q0.33_umin" localSheetId="12">'[2]Area values'!$H$17</definedName>
    <definedName name="sel_uq_q0.33_umin" localSheetId="9">'[2]Area values'!$H$17</definedName>
    <definedName name="sel_uq_q0.33_umin" localSheetId="8">'[2]Area values'!$H$17</definedName>
    <definedName name="sel_uq_q0.33_umin" localSheetId="0">'[3]Area values'!$H$17</definedName>
    <definedName name="sel_uq_q0.33_umin" localSheetId="10">'[2]Area values'!$H$17</definedName>
    <definedName name="sel_uq_q0.33_umin">'Area values'!$H$17</definedName>
    <definedName name="sel_uq_q0.33ue_umax" localSheetId="11">'[1]Area values'!$H$18</definedName>
    <definedName name="sel_uq_q0.33ue_umax" localSheetId="12">'[2]Area values'!$H$18</definedName>
    <definedName name="sel_uq_q0.33ue_umax" localSheetId="9">'[2]Area values'!$H$18</definedName>
    <definedName name="sel_uq_q0.33ue_umax" localSheetId="8">'[2]Area values'!$H$18</definedName>
    <definedName name="sel_uq_q0.33ue_umax" localSheetId="0">'[3]Area values'!$H$18</definedName>
    <definedName name="sel_uq_q0.33ue_umax" localSheetId="10">'[2]Area values'!$H$18</definedName>
    <definedName name="sel_uq_q0.33ue_umax">'Area values'!$H$18</definedName>
    <definedName name="sel_uq_q0.33ue_umin" localSheetId="11">'[1]Area values'!$H$19</definedName>
    <definedName name="sel_uq_q0.33ue_umin" localSheetId="12">'[2]Area values'!$H$19</definedName>
    <definedName name="sel_uq_q0.33ue_umin" localSheetId="9">'[2]Area values'!$H$19</definedName>
    <definedName name="sel_uq_q0.33ue_umin" localSheetId="8">'[2]Area values'!$H$19</definedName>
    <definedName name="sel_uq_q0.33ue_umin" localSheetId="0">'[3]Area values'!$H$19</definedName>
    <definedName name="sel_uq_q0.33ue_umin" localSheetId="10">'[2]Area values'!$H$19</definedName>
    <definedName name="sel_uq_q0.33ue_umin">'Area values'!$H$19</definedName>
    <definedName name="sel_uq_q0_umax" localSheetId="11">'[1]Area values'!$H$14</definedName>
    <definedName name="sel_uq_q0_umax" localSheetId="12">'[2]Area values'!$H$14</definedName>
    <definedName name="sel_uq_q0_umax" localSheetId="9">'[2]Area values'!$H$14</definedName>
    <definedName name="sel_uq_q0_umax" localSheetId="8">'[2]Area values'!$H$14</definedName>
    <definedName name="sel_uq_q0_umax" localSheetId="0">'[3]Area values'!$H$14</definedName>
    <definedName name="sel_uq_q0_umax" localSheetId="10">'[2]Area values'!$H$14</definedName>
    <definedName name="sel_uq_q0_umax">'Area values'!$H$14</definedName>
    <definedName name="sel_uq_q0_umin" localSheetId="11">'[1]Area values'!$H$15</definedName>
    <definedName name="sel_uq_q0_umin" localSheetId="12">'[2]Area values'!$H$15</definedName>
    <definedName name="sel_uq_q0_umin" localSheetId="9">'[2]Area values'!$H$15</definedName>
    <definedName name="sel_uq_q0_umin" localSheetId="8">'[2]Area values'!$H$15</definedName>
    <definedName name="sel_uq_q0_umin" localSheetId="0">'[3]Area values'!$H$15</definedName>
    <definedName name="sel_uq_q0_umin" localSheetId="10">'[2]Area values'!$H$15</definedName>
    <definedName name="sel_uq_q0_umin">'Area values'!$H$15</definedName>
    <definedName name="sel_urec1" localSheetId="11">'[1]Area values'!$H$31</definedName>
    <definedName name="sel_urec1" localSheetId="12">'[2]Area values'!$H$31</definedName>
    <definedName name="sel_urec1" localSheetId="9">'[2]Area values'!$H$31</definedName>
    <definedName name="sel_urec1" localSheetId="8">'[2]Area values'!$H$31</definedName>
    <definedName name="sel_urec1" localSheetId="0">'[3]Area values'!$H$31</definedName>
    <definedName name="sel_urec1" localSheetId="10">'[2]Area values'!$H$31</definedName>
    <definedName name="sel_urec1">'Area values'!$H$31</definedName>
    <definedName name="sel_urec2" localSheetId="11">'[1]Area values'!$H$33</definedName>
    <definedName name="sel_urec2" localSheetId="12">'[2]Area values'!$H$33</definedName>
    <definedName name="sel_urec2" localSheetId="9">'[2]Area values'!$H$33</definedName>
    <definedName name="sel_urec2" localSheetId="8">'[2]Area values'!$H$33</definedName>
    <definedName name="sel_urec2" localSheetId="0">'[3]Area values'!$H$33</definedName>
    <definedName name="sel_urec2" localSheetId="10">'[2]Area values'!$H$33</definedName>
    <definedName name="sel_urec2">'Area values'!$H$33</definedName>
    <definedName name="sel_ures" localSheetId="11">'[1]Area values'!$H$27</definedName>
    <definedName name="sel_ures" localSheetId="12">'[2]Area values'!$H$27</definedName>
    <definedName name="sel_ures" localSheetId="9">'[2]Area values'!$H$27</definedName>
    <definedName name="sel_ures" localSheetId="8">'[2]Area values'!$H$27</definedName>
    <definedName name="sel_ures" localSheetId="0">'[3]Area values'!$H$27</definedName>
    <definedName name="sel_ures" localSheetId="10">'[2]Area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12" l="1"/>
  <c r="B49" i="6"/>
  <c r="E11" i="17"/>
  <c r="E6" i="17"/>
  <c r="AB46" i="17" l="1"/>
  <c r="L44" i="17"/>
  <c r="K44" i="17"/>
  <c r="E44" i="17"/>
  <c r="L43" i="17"/>
  <c r="K43" i="17"/>
  <c r="E43" i="17"/>
  <c r="L42" i="17"/>
  <c r="K42" i="17"/>
  <c r="E42" i="17"/>
  <c r="L41" i="17"/>
  <c r="K41" i="17"/>
  <c r="E41" i="17"/>
  <c r="L40" i="17"/>
  <c r="K40" i="17"/>
  <c r="E40" i="17"/>
  <c r="L39" i="17"/>
  <c r="K39" i="17"/>
  <c r="E39" i="17"/>
  <c r="L38" i="17"/>
  <c r="K38" i="17"/>
  <c r="E38" i="17"/>
  <c r="L37" i="17"/>
  <c r="K37" i="17"/>
  <c r="E37" i="17"/>
  <c r="L61" i="17"/>
  <c r="K61" i="17"/>
  <c r="I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L88" i="17"/>
  <c r="K88" i="17"/>
  <c r="I88" i="17"/>
  <c r="E88" i="17"/>
  <c r="L87" i="17"/>
  <c r="K87" i="17"/>
  <c r="I87" i="17"/>
  <c r="E87" i="17"/>
  <c r="L86" i="17"/>
  <c r="K86" i="17"/>
  <c r="I86" i="17"/>
  <c r="E86" i="17"/>
  <c r="L85" i="17"/>
  <c r="K85" i="17"/>
  <c r="I85" i="17"/>
  <c r="E85" i="17"/>
  <c r="L84" i="17"/>
  <c r="K84" i="17"/>
  <c r="I84" i="17"/>
  <c r="E84" i="17"/>
  <c r="L83" i="17"/>
  <c r="K83" i="17"/>
  <c r="I83" i="17"/>
  <c r="L82" i="17"/>
  <c r="K82" i="17"/>
  <c r="I82" i="17"/>
  <c r="L81" i="17"/>
  <c r="K81" i="17"/>
  <c r="I81" i="17"/>
  <c r="L80" i="17"/>
  <c r="K80" i="17"/>
  <c r="I80" i="17"/>
  <c r="AR79" i="17"/>
  <c r="AJ79" i="17"/>
  <c r="AB79" i="17"/>
  <c r="T79" i="17"/>
  <c r="I79" i="17"/>
  <c r="E79" i="17"/>
  <c r="BH78" i="17"/>
  <c r="AZ78" i="17"/>
  <c r="AR78" i="17"/>
  <c r="AJ78" i="17"/>
  <c r="AB78" i="17"/>
  <c r="T78" i="17"/>
  <c r="I78" i="17"/>
  <c r="E78" i="17"/>
  <c r="BH77" i="17"/>
  <c r="AZ77" i="17"/>
  <c r="AR77" i="17"/>
  <c r="AJ77" i="17"/>
  <c r="AB77" i="17"/>
  <c r="T77" i="17"/>
  <c r="L77" i="17"/>
  <c r="K77" i="17"/>
  <c r="I77" i="17"/>
  <c r="E77" i="17"/>
  <c r="BH76" i="17"/>
  <c r="AZ76" i="17"/>
  <c r="AR76" i="17"/>
  <c r="AJ76" i="17"/>
  <c r="AB76" i="17"/>
  <c r="T76" i="17"/>
  <c r="L76" i="17"/>
  <c r="K76" i="17"/>
  <c r="I76" i="17"/>
  <c r="E76" i="17"/>
  <c r="BH75" i="17"/>
  <c r="AZ75" i="17"/>
  <c r="AR75" i="17"/>
  <c r="AJ75" i="17"/>
  <c r="AB75" i="17"/>
  <c r="T75" i="17"/>
  <c r="L75" i="17"/>
  <c r="K75" i="17"/>
  <c r="I75" i="17"/>
  <c r="E75" i="17"/>
  <c r="BH74" i="17"/>
  <c r="AZ74" i="17"/>
  <c r="AR74" i="17"/>
  <c r="AJ74" i="17"/>
  <c r="AB74" i="17"/>
  <c r="T74" i="17"/>
  <c r="L74" i="17"/>
  <c r="K74" i="17"/>
  <c r="I74" i="17"/>
  <c r="E74" i="17"/>
  <c r="AK73" i="17"/>
  <c r="I73" i="17"/>
  <c r="E73" i="17"/>
  <c r="AC72" i="17"/>
  <c r="I72" i="17"/>
  <c r="E72" i="17"/>
  <c r="AC71" i="17"/>
  <c r="U71" i="17"/>
  <c r="L71" i="17"/>
  <c r="K71" i="17"/>
  <c r="I71" i="17"/>
  <c r="E71" i="17"/>
  <c r="T70" i="17"/>
  <c r="L70" i="17"/>
  <c r="K70" i="17"/>
  <c r="I70" i="17"/>
  <c r="E70" i="17"/>
  <c r="I69" i="17"/>
  <c r="I68" i="17"/>
  <c r="Q67" i="17"/>
  <c r="I67" i="17"/>
  <c r="E67" i="17"/>
  <c r="I66" i="17"/>
  <c r="I65" i="17"/>
  <c r="E65" i="17"/>
  <c r="L64" i="17"/>
  <c r="K64" i="17"/>
  <c r="I64" i="17"/>
  <c r="E64" i="17"/>
  <c r="L63" i="17"/>
  <c r="K63" i="17"/>
  <c r="I63" i="17"/>
  <c r="E63" i="17"/>
  <c r="L62" i="17"/>
  <c r="K62" i="17"/>
  <c r="I62" i="17"/>
  <c r="E62" i="17"/>
  <c r="L60" i="17"/>
  <c r="K60" i="17"/>
  <c r="I60" i="17"/>
  <c r="E60" i="17"/>
  <c r="L59" i="17"/>
  <c r="K59" i="17"/>
  <c r="I59" i="17"/>
  <c r="E59" i="17"/>
  <c r="L58" i="17"/>
  <c r="K58" i="17"/>
  <c r="I58" i="17"/>
  <c r="E58" i="17"/>
  <c r="L57" i="17"/>
  <c r="K57" i="17"/>
  <c r="I57" i="17"/>
  <c r="E57" i="17"/>
  <c r="L56" i="17"/>
  <c r="K56" i="17"/>
  <c r="I56" i="17"/>
  <c r="E56" i="17"/>
  <c r="L55" i="17"/>
  <c r="K55" i="17"/>
  <c r="I55" i="17"/>
  <c r="E55" i="17"/>
  <c r="L54" i="17"/>
  <c r="K54" i="17"/>
  <c r="I54" i="17"/>
  <c r="E54" i="17"/>
  <c r="L53" i="17"/>
  <c r="K53" i="17"/>
  <c r="I53" i="17"/>
  <c r="E53" i="17"/>
  <c r="L52" i="17"/>
  <c r="K52" i="17"/>
  <c r="I52" i="17"/>
  <c r="E52" i="17"/>
  <c r="L51" i="17"/>
  <c r="K51" i="17"/>
  <c r="I51" i="17"/>
  <c r="E51" i="17"/>
  <c r="L50" i="17"/>
  <c r="K50" i="17"/>
  <c r="I50" i="17"/>
  <c r="E50" i="17"/>
  <c r="L49" i="17"/>
  <c r="K49" i="17"/>
  <c r="I49" i="17"/>
  <c r="E49" i="17"/>
  <c r="U48" i="17"/>
  <c r="Y48" i="17" s="1"/>
  <c r="AC48" i="17" s="1"/>
  <c r="AG48" i="17" s="1"/>
  <c r="AK48" i="17" s="1"/>
  <c r="L48" i="17"/>
  <c r="K48" i="17"/>
  <c r="I48" i="17"/>
  <c r="E48" i="17"/>
  <c r="L47" i="17"/>
  <c r="K47" i="17"/>
  <c r="I47" i="17"/>
  <c r="E47" i="17"/>
  <c r="L46" i="17"/>
  <c r="K46" i="17"/>
  <c r="I46" i="17"/>
  <c r="E46" i="17"/>
  <c r="L45" i="17"/>
  <c r="K45" i="17"/>
  <c r="I45" i="17"/>
  <c r="E45" i="17"/>
  <c r="R36" i="17"/>
  <c r="I36" i="17"/>
  <c r="E36" i="17"/>
  <c r="R35" i="17"/>
  <c r="I35" i="17"/>
  <c r="E35" i="17"/>
  <c r="I34" i="17"/>
  <c r="E34" i="17"/>
  <c r="Z33" i="17"/>
  <c r="AB33" i="17" s="1"/>
  <c r="I33" i="17"/>
  <c r="E33" i="17"/>
  <c r="V32" i="17"/>
  <c r="U32" i="17"/>
  <c r="R32" i="17"/>
  <c r="Q32" i="17"/>
  <c r="L32" i="17"/>
  <c r="K32" i="17"/>
  <c r="I32" i="17"/>
  <c r="E32" i="17"/>
  <c r="T31" i="17"/>
  <c r="X31" i="17" s="1"/>
  <c r="AB31" i="17" s="1"/>
  <c r="I31" i="17"/>
  <c r="BA30" i="17"/>
  <c r="AO30" i="17"/>
  <c r="AC30" i="17"/>
  <c r="U30" i="17"/>
  <c r="I30" i="17"/>
  <c r="X29" i="17"/>
  <c r="V29" i="17"/>
  <c r="U29" i="17"/>
  <c r="T29" i="17"/>
  <c r="L29" i="17"/>
  <c r="K29" i="17"/>
  <c r="I29" i="17"/>
  <c r="E29" i="17"/>
  <c r="V28" i="17"/>
  <c r="U28" i="17"/>
  <c r="T28" i="17"/>
  <c r="L28" i="17"/>
  <c r="K28" i="17"/>
  <c r="I28" i="17"/>
  <c r="E28" i="17"/>
  <c r="V27" i="17"/>
  <c r="U27" i="17"/>
  <c r="T27" i="17"/>
  <c r="L27" i="17"/>
  <c r="K27" i="17"/>
  <c r="I27" i="17"/>
  <c r="E27" i="17"/>
  <c r="I26" i="17"/>
  <c r="E26" i="17"/>
  <c r="I25" i="17"/>
  <c r="E25" i="17"/>
  <c r="L24" i="17"/>
  <c r="K24" i="17"/>
  <c r="I24" i="17"/>
  <c r="E24" i="17"/>
  <c r="V23" i="17"/>
  <c r="U23" i="17"/>
  <c r="T23" i="17"/>
  <c r="L23" i="17"/>
  <c r="K23" i="17"/>
  <c r="I23" i="17"/>
  <c r="E23" i="17"/>
  <c r="T22" i="17"/>
  <c r="L22" i="17"/>
  <c r="K22" i="17"/>
  <c r="I22" i="17"/>
  <c r="E22" i="17"/>
  <c r="T21" i="17"/>
  <c r="L21" i="17"/>
  <c r="K21" i="17"/>
  <c r="I21" i="17"/>
  <c r="E21" i="17"/>
  <c r="AB20" i="17"/>
  <c r="T20" i="17"/>
  <c r="L20" i="17"/>
  <c r="K20" i="17"/>
  <c r="I20" i="17"/>
  <c r="E20" i="17"/>
  <c r="L19" i="17"/>
  <c r="K19" i="17"/>
  <c r="I19" i="17"/>
  <c r="E19" i="17"/>
  <c r="L18" i="17"/>
  <c r="K18" i="17"/>
  <c r="I18" i="17"/>
  <c r="E18" i="17"/>
  <c r="L17" i="17"/>
  <c r="K17" i="17"/>
  <c r="I17" i="17"/>
  <c r="E17" i="17"/>
  <c r="L16" i="17"/>
  <c r="K16" i="17"/>
  <c r="I16" i="17"/>
  <c r="E16" i="17"/>
  <c r="L15" i="17"/>
  <c r="K15" i="17"/>
  <c r="I15" i="17"/>
  <c r="E15" i="17"/>
  <c r="L14" i="17"/>
  <c r="K14" i="17"/>
  <c r="I14" i="17"/>
  <c r="E14" i="17"/>
  <c r="L13" i="17"/>
  <c r="K13" i="17"/>
  <c r="I13" i="17"/>
  <c r="E13" i="17"/>
  <c r="L12" i="17"/>
  <c r="K12" i="17"/>
  <c r="I12" i="17"/>
  <c r="E12" i="17"/>
  <c r="L11" i="17"/>
  <c r="K11" i="17"/>
  <c r="I11" i="17"/>
  <c r="L10" i="17"/>
  <c r="K10" i="17"/>
  <c r="I10" i="17"/>
  <c r="E10" i="17"/>
  <c r="L9" i="17"/>
  <c r="K9" i="17"/>
  <c r="I9" i="17"/>
  <c r="E9" i="17"/>
  <c r="L8" i="17"/>
  <c r="K8" i="17"/>
  <c r="I8" i="17"/>
  <c r="E8" i="17"/>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V38" i="18" l="1"/>
  <c r="AD38" i="18"/>
  <c r="V37" i="18"/>
  <c r="V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W47" i="15"/>
  <c r="V47" i="15"/>
  <c r="S47" i="15"/>
  <c r="R47" i="15"/>
  <c r="M47" i="15"/>
  <c r="L47" i="15"/>
  <c r="J47" i="15"/>
  <c r="E47" i="15"/>
  <c r="M69" i="15"/>
  <c r="L69" i="15"/>
  <c r="M68" i="15"/>
  <c r="L68" i="15"/>
  <c r="C110" i="6" l="1"/>
  <c r="B110" i="6"/>
  <c r="C59" i="6"/>
  <c r="B59" i="6"/>
  <c r="S151" i="6"/>
  <c r="J151" i="6"/>
  <c r="E151" i="6"/>
  <c r="C151" i="6"/>
  <c r="B151" i="6"/>
  <c r="S150" i="6"/>
  <c r="E150" i="6"/>
  <c r="C150" i="6"/>
  <c r="B150" i="6"/>
  <c r="M57" i="15" l="1"/>
  <c r="L57" i="15"/>
  <c r="M74" i="15"/>
  <c r="L74" i="15"/>
  <c r="M79" i="15"/>
  <c r="L79" i="15"/>
  <c r="J79" i="15"/>
  <c r="E79" i="15"/>
  <c r="M110" i="6"/>
  <c r="L110" i="6"/>
  <c r="J110" i="6"/>
  <c r="E110" i="6"/>
  <c r="M65" i="15"/>
  <c r="L65" i="15"/>
  <c r="M64" i="15"/>
  <c r="L64" i="15"/>
  <c r="M169" i="6"/>
  <c r="L169" i="6"/>
  <c r="M168" i="6"/>
  <c r="L168" i="6"/>
  <c r="E169" i="6"/>
  <c r="C169" i="6"/>
  <c r="B169" i="6"/>
  <c r="V51" i="15"/>
  <c r="Z51" i="15" s="1"/>
  <c r="AD51" i="15" s="1"/>
  <c r="AH51" i="15" s="1"/>
  <c r="AL51"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C48" i="6"/>
  <c r="B48" i="6"/>
  <c r="C47" i="6"/>
  <c r="B47" i="6"/>
  <c r="C45" i="6"/>
  <c r="B45" i="6"/>
  <c r="C41" i="6"/>
  <c r="B41" i="6"/>
  <c r="C39" i="6"/>
  <c r="B39" i="6"/>
  <c r="C37" i="6"/>
  <c r="B37" i="6"/>
  <c r="C35" i="6"/>
  <c r="B35" i="6"/>
  <c r="C31" i="6"/>
  <c r="B31" i="6"/>
  <c r="C20" i="6"/>
  <c r="B20"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R33" i="6" l="1"/>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R20" i="6"/>
  <c r="Z20" i="6"/>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<sst xmlns="http://schemas.openxmlformats.org/spreadsheetml/2006/main" count="5406" uniqueCount="925">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</sst>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1"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
      <sz val="72"/>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13">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1"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2"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3" fillId="0" borderId="41"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3" fillId="30" borderId="1" xfId="0" applyNumberFormat="1" applyFont="1" applyFill="1" applyBorder="1" applyAlignment="1">
      <alignment horizontal="right" vertical="center"/>
    </xf>
    <xf numFmtId="164" fontId="13"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4" fillId="0" borderId="0" xfId="0" applyFont="1" applyAlignment="1">
      <alignment horizontal="center"/>
    </xf>
    <xf numFmtId="0" fontId="0" fillId="7" borderId="10" xfId="0" applyFill="1" applyBorder="1"/>
    <xf numFmtId="0" fontId="14" fillId="0" borderId="44" xfId="0" applyFont="1" applyBorder="1" applyAlignment="1">
      <alignment horizontal="center"/>
    </xf>
    <xf numFmtId="0" fontId="14" fillId="0" borderId="30" xfId="0" applyFont="1" applyBorder="1" applyAlignment="1">
      <alignment horizontal="center"/>
    </xf>
    <xf numFmtId="0" fontId="14" fillId="0" borderId="43" xfId="0" applyFont="1" applyBorder="1" applyAlignment="1">
      <alignment horizontal="center"/>
    </xf>
    <xf numFmtId="0" fontId="14"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1"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1"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8" fillId="0" borderId="45" xfId="0" applyFont="1" applyBorder="1" applyAlignment="1">
      <alignment vertical="center"/>
    </xf>
    <xf numFmtId="0" fontId="3" fillId="26" borderId="45" xfId="0" applyFont="1" applyFill="1" applyBorder="1" applyAlignment="1">
      <alignment horizontal="center" vertical="center" wrapText="1"/>
    </xf>
    <xf numFmtId="0" fontId="11"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1"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1"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1"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5" fillId="7" borderId="2" xfId="0" applyFont="1" applyFill="1" applyBorder="1" applyAlignment="1">
      <alignment horizontal="center"/>
    </xf>
    <xf numFmtId="0" fontId="15" fillId="7" borderId="4"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0" fillId="0" borderId="48" xfId="0" applyBorder="1" applyAlignment="1">
      <alignment horizontal="left" vertical="center" wrapText="1"/>
    </xf>
    <xf numFmtId="0" fontId="0" fillId="0" borderId="47" xfId="0" applyBorder="1" applyAlignment="1">
      <alignment horizontal="left" vertical="center" wrapText="1"/>
    </xf>
    <xf numFmtId="0" fontId="16" fillId="0" borderId="0" xfId="0" applyFont="1" applyAlignment="1">
      <alignment horizontal="center" vertical="center" wrapText="1"/>
    </xf>
    <xf numFmtId="0" fontId="16" fillId="0" borderId="36" xfId="0" applyFont="1" applyBorder="1" applyAlignment="1">
      <alignment horizontal="center" vertical="center" wrapText="1"/>
    </xf>
    <xf numFmtId="0" fontId="20" fillId="0" borderId="0" xfId="0" applyFont="1" applyAlignment="1">
      <alignment vertical="center"/>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cellXfs>
  <cellStyles count="3">
    <cellStyle name="20 % - Farve3" xfId="1" builtinId="38"/>
    <cellStyle name="Normal" xfId="0" builtinId="0"/>
    <cellStyle name="Pro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4.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3.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externalLink" Target="externalLinks/externalLink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energinet-my.sharepoint.com/personal/aod_energinet_dk1/Documents/12%20MTB%20CoLocated/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energinet-my.sharepoint.com/personal/aod_energinet_dk1/Documents/09%20MTB/Til%20CVL/testcases_.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testcases_AOD_PV+BESS.xlsx" TargetMode="External"/><Relationship Id="rId2" Type="http://schemas.openxmlformats.org/officeDocument/2006/relationships/externalLinkPath" Target="file:///\\energinet.local\endk_funktion\Dynsim\13_Medarbejdermapper\CVL\testcases_AOD_PV+BESS.xlsx" TargetMode="External"/><Relationship Id="rId1" Type="http://schemas.openxmlformats.org/officeDocument/2006/relationships/externalLinkPath" Target="/Dynsim/13_Medarbejdermapper/CVL/testcases_AOD_PV+BESS.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energinet-my.sharepoint.com/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ettings"/>
      <sheetName val="Area values"/>
      <sheetName val="RfG cases"/>
      <sheetName val="DCC cases"/>
      <sheetName val="Unit cases"/>
      <sheetName val="Co-located cases"/>
      <sheetName val="Event types"/>
      <sheetName val="Custom cases"/>
      <sheetName val="RfG cases overview"/>
      <sheetName val="DCC cases overview"/>
      <sheetName val="Unit cases overview"/>
      <sheetName val="Co-located cases overview"/>
      <sheetName val="Custom cases overview"/>
      <sheetName val="datavalidation"/>
    </sheetNames>
    <sheetDataSet>
      <sheetData sheetId="0">
        <row r="30">
          <cell r="B30">
            <v>6</v>
          </cell>
        </row>
      </sheetData>
      <sheetData sheetId="1">
        <row r="4">
          <cell r="H4">
            <v>50.2</v>
          </cell>
        </row>
        <row r="5">
          <cell r="H5">
            <v>5</v>
          </cell>
        </row>
        <row r="6">
          <cell r="H6">
            <v>49.8</v>
          </cell>
        </row>
        <row r="7">
          <cell r="H7">
            <v>5</v>
          </cell>
        </row>
        <row r="8">
          <cell r="H8">
            <v>0</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6">
          <cell r="H26">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9DE8A-7728-4054-9F86-B164329BEF9A}">
  <sheetPr>
    <tabColor rgb="FF00847C"/>
  </sheetPr>
  <dimension ref="A1:M49"/>
  <sheetViews>
    <sheetView tabSelected="1" zoomScaleNormal="100" workbookViewId="0"/>
  </sheetViews>
  <sheetFormatPr defaultRowHeight="15" x14ac:dyDescent="0.25"/>
  <cols>
    <col min="1" max="1" width="30.28515625" customWidth="1"/>
    <col min="2" max="2" width="21.5703125" style="3" bestFit="1" customWidth="1"/>
    <col min="3" max="3" width="6.7109375" style="3" customWidth="1"/>
    <col min="4" max="4" width="94.5703125" customWidth="1"/>
    <col min="5" max="5" width="9.140625" style="3"/>
    <col min="6" max="6" width="9.7109375" customWidth="1"/>
    <col min="7" max="7" width="19.140625" customWidth="1"/>
    <col min="8" max="13" width="12.7109375" customWidth="1"/>
  </cols>
  <sheetData>
    <row r="1" spans="1:13" x14ac:dyDescent="0.25">
      <c r="A1" s="195" t="s">
        <v>92</v>
      </c>
      <c r="B1" s="196" t="s">
        <v>226</v>
      </c>
      <c r="C1" s="196" t="s">
        <v>216</v>
      </c>
      <c r="D1" s="195" t="s">
        <v>0</v>
      </c>
    </row>
    <row r="2" spans="1:13" ht="15.75" thickBot="1" x14ac:dyDescent="0.3">
      <c r="A2" s="345" t="s">
        <v>224</v>
      </c>
      <c r="B2" s="308" t="s">
        <v>214</v>
      </c>
      <c r="C2" s="250" t="s">
        <v>10</v>
      </c>
      <c r="D2" s="346"/>
    </row>
    <row r="3" spans="1:13" x14ac:dyDescent="0.25">
      <c r="A3" s="345" t="s">
        <v>237</v>
      </c>
      <c r="B3" s="308" t="b">
        <v>0</v>
      </c>
      <c r="C3" s="250" t="s">
        <v>10</v>
      </c>
      <c r="D3" s="251" t="s">
        <v>322</v>
      </c>
      <c r="G3" s="124"/>
      <c r="H3" s="381" t="s">
        <v>339</v>
      </c>
      <c r="I3" s="381"/>
      <c r="J3" s="381"/>
      <c r="K3" s="381" t="s">
        <v>340</v>
      </c>
      <c r="L3" s="381"/>
      <c r="M3" s="382"/>
    </row>
    <row r="4" spans="1:13" x14ac:dyDescent="0.25">
      <c r="A4" s="249" t="s">
        <v>1</v>
      </c>
      <c r="B4" s="247" t="s">
        <v>549</v>
      </c>
      <c r="C4" s="250" t="s">
        <v>10</v>
      </c>
      <c r="D4" s="347"/>
      <c r="G4" s="372" t="s">
        <v>483</v>
      </c>
      <c r="H4" s="123" t="s">
        <v>341</v>
      </c>
      <c r="I4" s="123" t="s">
        <v>342</v>
      </c>
      <c r="J4" s="123" t="s">
        <v>343</v>
      </c>
      <c r="K4" s="123" t="s">
        <v>344</v>
      </c>
      <c r="L4" s="123" t="s">
        <v>342</v>
      </c>
      <c r="M4" s="373" t="s">
        <v>345</v>
      </c>
    </row>
    <row r="5" spans="1:13" s="2" customFormat="1" x14ac:dyDescent="0.25">
      <c r="A5" s="348" t="s">
        <v>2</v>
      </c>
      <c r="B5" s="241">
        <v>200</v>
      </c>
      <c r="C5" s="349" t="s">
        <v>3</v>
      </c>
      <c r="D5" s="350"/>
      <c r="E5" s="13"/>
      <c r="G5" s="372"/>
      <c r="H5" s="123"/>
      <c r="I5" s="123"/>
      <c r="J5" s="123"/>
      <c r="K5" s="123"/>
      <c r="L5" s="123"/>
      <c r="M5" s="373"/>
    </row>
    <row r="6" spans="1:13" s="2" customFormat="1" ht="15.75" thickBot="1" x14ac:dyDescent="0.3">
      <c r="A6" s="240" t="s">
        <v>550</v>
      </c>
      <c r="B6" s="241">
        <v>1</v>
      </c>
      <c r="C6" s="242" t="s">
        <v>139</v>
      </c>
      <c r="D6" s="244" t="s">
        <v>552</v>
      </c>
      <c r="E6" s="13"/>
      <c r="G6" s="125" t="s">
        <v>346</v>
      </c>
      <c r="H6" s="126" t="s">
        <v>347</v>
      </c>
      <c r="I6" s="126" t="s">
        <v>342</v>
      </c>
      <c r="J6" s="126" t="s">
        <v>343</v>
      </c>
      <c r="K6" s="126" t="s">
        <v>348</v>
      </c>
      <c r="L6" s="126" t="s">
        <v>349</v>
      </c>
      <c r="M6" s="127" t="s">
        <v>345</v>
      </c>
    </row>
    <row r="7" spans="1:13" s="2" customFormat="1" x14ac:dyDescent="0.25">
      <c r="A7" s="240" t="s">
        <v>870</v>
      </c>
      <c r="B7" s="246">
        <v>4</v>
      </c>
      <c r="C7" s="250" t="s">
        <v>10</v>
      </c>
      <c r="D7" s="244"/>
      <c r="E7" s="13"/>
      <c r="F7" s="4"/>
      <c r="G7" s="4"/>
      <c r="H7" s="4"/>
      <c r="I7" s="4"/>
      <c r="J7" s="4"/>
      <c r="K7" s="4"/>
    </row>
    <row r="8" spans="1:13" s="2" customFormat="1" x14ac:dyDescent="0.25">
      <c r="A8" s="351" t="s">
        <v>871</v>
      </c>
      <c r="B8" s="352">
        <v>200</v>
      </c>
      <c r="C8" s="353" t="s">
        <v>3</v>
      </c>
      <c r="D8" s="244" t="s">
        <v>872</v>
      </c>
      <c r="E8" s="13"/>
      <c r="F8" s="4"/>
      <c r="G8" s="4"/>
      <c r="H8" s="4"/>
      <c r="I8" s="4"/>
      <c r="J8" s="4"/>
      <c r="K8" s="4"/>
    </row>
    <row r="9" spans="1:13" s="2" customFormat="1" ht="15.75" thickBot="1" x14ac:dyDescent="0.3">
      <c r="A9" s="351" t="s">
        <v>873</v>
      </c>
      <c r="B9" s="352">
        <v>-100</v>
      </c>
      <c r="C9" s="353" t="s">
        <v>3</v>
      </c>
      <c r="D9" s="244" t="s">
        <v>874</v>
      </c>
      <c r="E9" s="13"/>
      <c r="F9" s="4"/>
      <c r="G9" s="4"/>
      <c r="H9" s="4"/>
      <c r="I9" s="4"/>
      <c r="J9" s="4"/>
      <c r="K9" s="4"/>
    </row>
    <row r="10" spans="1:13" s="2" customFormat="1" x14ac:dyDescent="0.25">
      <c r="A10" s="362" t="s">
        <v>913</v>
      </c>
      <c r="B10" s="363" t="s">
        <v>875</v>
      </c>
      <c r="C10" s="364"/>
      <c r="D10" s="357"/>
      <c r="E10" s="13"/>
    </row>
    <row r="11" spans="1:13" s="2" customFormat="1" x14ac:dyDescent="0.25">
      <c r="A11" s="365" t="s">
        <v>881</v>
      </c>
      <c r="B11" s="366">
        <v>250</v>
      </c>
      <c r="C11" s="367" t="s">
        <v>3</v>
      </c>
      <c r="D11" s="244" t="s">
        <v>876</v>
      </c>
      <c r="E11" s="13"/>
    </row>
    <row r="12" spans="1:13" s="2" customFormat="1" x14ac:dyDescent="0.25">
      <c r="A12" s="365" t="s">
        <v>882</v>
      </c>
      <c r="B12" s="366">
        <v>1</v>
      </c>
      <c r="C12" s="367" t="s">
        <v>139</v>
      </c>
      <c r="D12" s="244" t="s">
        <v>877</v>
      </c>
      <c r="E12" s="13"/>
    </row>
    <row r="13" spans="1:13" s="2" customFormat="1" ht="15.75" thickBot="1" x14ac:dyDescent="0.3">
      <c r="A13" s="368" t="s">
        <v>889</v>
      </c>
      <c r="B13" s="369">
        <v>0</v>
      </c>
      <c r="C13" s="370" t="s">
        <v>3</v>
      </c>
      <c r="D13" s="244" t="s">
        <v>878</v>
      </c>
      <c r="E13" s="13"/>
    </row>
    <row r="14" spans="1:13" s="2" customFormat="1" x14ac:dyDescent="0.25">
      <c r="A14" s="354" t="s">
        <v>914</v>
      </c>
      <c r="B14" s="355" t="s">
        <v>879</v>
      </c>
      <c r="C14" s="356"/>
      <c r="D14" s="357"/>
      <c r="E14" s="13"/>
      <c r="F14" s="4"/>
    </row>
    <row r="15" spans="1:13" s="2" customFormat="1" x14ac:dyDescent="0.25">
      <c r="A15" s="351" t="s">
        <v>883</v>
      </c>
      <c r="B15" s="352">
        <v>100</v>
      </c>
      <c r="C15" s="358" t="s">
        <v>3</v>
      </c>
      <c r="D15" s="244" t="s">
        <v>876</v>
      </c>
      <c r="E15" s="13"/>
      <c r="F15" s="4"/>
    </row>
    <row r="16" spans="1:13" s="2" customFormat="1" x14ac:dyDescent="0.25">
      <c r="A16" s="351" t="s">
        <v>884</v>
      </c>
      <c r="B16" s="352">
        <v>0.5</v>
      </c>
      <c r="C16" s="358" t="s">
        <v>139</v>
      </c>
      <c r="D16" s="244" t="s">
        <v>877</v>
      </c>
      <c r="E16" s="13"/>
      <c r="F16" s="4"/>
    </row>
    <row r="17" spans="1:11" s="2" customFormat="1" ht="15.75" thickBot="1" x14ac:dyDescent="0.3">
      <c r="A17" s="359" t="s">
        <v>890</v>
      </c>
      <c r="B17" s="360">
        <v>-100</v>
      </c>
      <c r="C17" s="361" t="s">
        <v>3</v>
      </c>
      <c r="D17" s="244" t="s">
        <v>878</v>
      </c>
      <c r="E17" s="13"/>
      <c r="F17" s="4"/>
    </row>
    <row r="18" spans="1:11" s="2" customFormat="1" x14ac:dyDescent="0.25">
      <c r="A18" s="362" t="s">
        <v>915</v>
      </c>
      <c r="B18" s="363" t="s">
        <v>880</v>
      </c>
      <c r="C18" s="364"/>
      <c r="D18" s="357"/>
      <c r="E18" s="13"/>
      <c r="F18" s="4"/>
      <c r="G18" s="4"/>
      <c r="H18" s="4"/>
      <c r="I18" s="4"/>
      <c r="J18" s="4"/>
      <c r="K18" s="4"/>
    </row>
    <row r="19" spans="1:11" s="2" customFormat="1" x14ac:dyDescent="0.25">
      <c r="A19" s="365" t="s">
        <v>885</v>
      </c>
      <c r="B19" s="366">
        <v>0</v>
      </c>
      <c r="C19" s="367" t="s">
        <v>3</v>
      </c>
      <c r="D19" s="244" t="s">
        <v>876</v>
      </c>
      <c r="E19" s="13"/>
      <c r="F19" s="4"/>
      <c r="G19" s="4"/>
      <c r="H19" s="4"/>
      <c r="I19" s="4"/>
      <c r="J19" s="4"/>
      <c r="K19" s="4"/>
    </row>
    <row r="20" spans="1:11" s="2" customFormat="1" x14ac:dyDescent="0.25">
      <c r="A20" s="365" t="s">
        <v>886</v>
      </c>
      <c r="B20" s="366">
        <v>1</v>
      </c>
      <c r="C20" s="367" t="s">
        <v>139</v>
      </c>
      <c r="D20" s="244" t="s">
        <v>877</v>
      </c>
      <c r="E20" s="13"/>
      <c r="F20" s="4"/>
      <c r="G20" s="4"/>
      <c r="H20" s="4"/>
      <c r="I20" s="4"/>
      <c r="J20" s="4"/>
      <c r="K20" s="4"/>
    </row>
    <row r="21" spans="1:11" s="2" customFormat="1" ht="15.75" thickBot="1" x14ac:dyDescent="0.3">
      <c r="A21" s="368" t="s">
        <v>891</v>
      </c>
      <c r="B21" s="369">
        <v>-10</v>
      </c>
      <c r="C21" s="370" t="s">
        <v>3</v>
      </c>
      <c r="D21" s="244" t="s">
        <v>878</v>
      </c>
      <c r="E21" s="13"/>
      <c r="F21" s="4"/>
      <c r="G21" s="4"/>
      <c r="H21" s="4"/>
      <c r="I21" s="4"/>
      <c r="J21" s="4"/>
      <c r="K21" s="4"/>
    </row>
    <row r="22" spans="1:11" s="2" customFormat="1" x14ac:dyDescent="0.25">
      <c r="A22" s="354" t="s">
        <v>916</v>
      </c>
      <c r="B22" s="355" t="s">
        <v>875</v>
      </c>
      <c r="C22" s="356"/>
      <c r="D22" s="357"/>
      <c r="E22" s="13"/>
      <c r="F22" s="4"/>
      <c r="G22" s="4"/>
      <c r="H22" s="4"/>
      <c r="I22" s="4"/>
      <c r="J22" s="4"/>
      <c r="K22" s="4"/>
    </row>
    <row r="23" spans="1:11" s="2" customFormat="1" x14ac:dyDescent="0.25">
      <c r="A23" s="351" t="s">
        <v>887</v>
      </c>
      <c r="B23" s="352">
        <v>10</v>
      </c>
      <c r="C23" s="358" t="s">
        <v>3</v>
      </c>
      <c r="D23" s="244" t="s">
        <v>876</v>
      </c>
      <c r="E23" s="13"/>
      <c r="F23" s="4"/>
      <c r="G23" s="4"/>
      <c r="H23" s="4"/>
      <c r="I23" s="4"/>
      <c r="J23" s="4"/>
      <c r="K23" s="4"/>
    </row>
    <row r="24" spans="1:11" s="2" customFormat="1" x14ac:dyDescent="0.25">
      <c r="A24" s="351" t="s">
        <v>888</v>
      </c>
      <c r="B24" s="352">
        <v>1</v>
      </c>
      <c r="C24" s="358" t="s">
        <v>139</v>
      </c>
      <c r="D24" s="244" t="s">
        <v>877</v>
      </c>
      <c r="E24" s="13"/>
      <c r="F24" s="4"/>
      <c r="G24" s="4"/>
      <c r="H24" s="4"/>
      <c r="I24" s="4"/>
      <c r="J24" s="4"/>
      <c r="K24" s="4"/>
    </row>
    <row r="25" spans="1:11" s="2" customFormat="1" ht="15.75" thickBot="1" x14ac:dyDescent="0.3">
      <c r="A25" s="359" t="s">
        <v>892</v>
      </c>
      <c r="B25" s="360">
        <v>0</v>
      </c>
      <c r="C25" s="361" t="s">
        <v>3</v>
      </c>
      <c r="D25" s="244" t="s">
        <v>878</v>
      </c>
      <c r="E25" s="13"/>
      <c r="F25" s="4"/>
      <c r="G25" s="4"/>
      <c r="H25" s="4"/>
      <c r="I25" s="4"/>
      <c r="J25" s="4"/>
      <c r="K25" s="4"/>
    </row>
    <row r="26" spans="1:11" x14ac:dyDescent="0.25">
      <c r="A26" s="348" t="s">
        <v>4</v>
      </c>
      <c r="B26" s="241">
        <v>161.9</v>
      </c>
      <c r="C26" s="371" t="s">
        <v>5</v>
      </c>
      <c r="D26" s="251" t="s">
        <v>326</v>
      </c>
    </row>
    <row r="27" spans="1:11" x14ac:dyDescent="0.25">
      <c r="A27" s="249" t="s">
        <v>6</v>
      </c>
      <c r="B27" s="241">
        <v>152</v>
      </c>
      <c r="C27" s="371" t="s">
        <v>5</v>
      </c>
      <c r="D27" s="251" t="s">
        <v>325</v>
      </c>
    </row>
    <row r="28" spans="1:11" x14ac:dyDescent="0.25">
      <c r="A28" s="249" t="s">
        <v>7</v>
      </c>
      <c r="B28" s="247" t="s">
        <v>8</v>
      </c>
      <c r="C28" s="371"/>
      <c r="D28" s="347"/>
    </row>
    <row r="29" spans="1:11" x14ac:dyDescent="0.25">
      <c r="A29" s="249" t="s">
        <v>491</v>
      </c>
      <c r="B29" s="241">
        <v>0</v>
      </c>
      <c r="C29" s="371" t="s">
        <v>150</v>
      </c>
      <c r="D29" s="251" t="s">
        <v>494</v>
      </c>
    </row>
    <row r="30" spans="1:11" x14ac:dyDescent="0.25">
      <c r="A30" s="249" t="s">
        <v>481</v>
      </c>
      <c r="B30" s="245">
        <v>6</v>
      </c>
      <c r="C30" s="371" t="s">
        <v>13</v>
      </c>
      <c r="D30" s="347"/>
    </row>
    <row r="31" spans="1:11" x14ac:dyDescent="0.25">
      <c r="A31" s="249" t="s">
        <v>9</v>
      </c>
      <c r="B31" s="245">
        <v>10</v>
      </c>
      <c r="C31" s="250" t="s">
        <v>10</v>
      </c>
      <c r="D31" s="347"/>
    </row>
    <row r="32" spans="1:11" x14ac:dyDescent="0.25">
      <c r="A32" s="249" t="s">
        <v>11</v>
      </c>
      <c r="B32" s="245">
        <v>20</v>
      </c>
      <c r="C32" s="250" t="s">
        <v>10</v>
      </c>
      <c r="D32" s="347"/>
    </row>
    <row r="33" spans="1:8" x14ac:dyDescent="0.25">
      <c r="A33" s="249" t="s">
        <v>12</v>
      </c>
      <c r="B33" s="245">
        <v>30</v>
      </c>
      <c r="C33" s="250" t="s">
        <v>10</v>
      </c>
      <c r="D33" s="347"/>
    </row>
    <row r="34" spans="1:8" x14ac:dyDescent="0.25">
      <c r="A34" s="249" t="s">
        <v>548</v>
      </c>
      <c r="B34" s="245">
        <v>4</v>
      </c>
      <c r="C34" s="250" t="s">
        <v>13</v>
      </c>
      <c r="D34" s="347"/>
    </row>
    <row r="35" spans="1:8" x14ac:dyDescent="0.25">
      <c r="A35" s="249" t="s">
        <v>14</v>
      </c>
      <c r="B35" s="241">
        <v>10</v>
      </c>
      <c r="C35" s="250" t="s">
        <v>10</v>
      </c>
      <c r="D35" s="347"/>
      <c r="F35" s="144"/>
      <c r="G35" s="144"/>
      <c r="H35" s="144"/>
    </row>
    <row r="36" spans="1:8" x14ac:dyDescent="0.25">
      <c r="A36" s="249" t="s">
        <v>15</v>
      </c>
      <c r="B36" s="241">
        <v>15</v>
      </c>
      <c r="C36" s="250" t="s">
        <v>10</v>
      </c>
      <c r="D36" s="347"/>
      <c r="F36" s="14"/>
      <c r="G36" s="14"/>
      <c r="H36" s="14"/>
    </row>
    <row r="37" spans="1:8" x14ac:dyDescent="0.25">
      <c r="A37" s="249" t="s">
        <v>16</v>
      </c>
      <c r="B37" s="241">
        <v>20</v>
      </c>
      <c r="C37" s="250" t="s">
        <v>10</v>
      </c>
      <c r="D37" s="347"/>
      <c r="F37" s="14"/>
      <c r="G37" s="14"/>
      <c r="H37" s="14"/>
    </row>
    <row r="38" spans="1:8" x14ac:dyDescent="0.25">
      <c r="A38" s="249" t="s">
        <v>730</v>
      </c>
      <c r="B38" s="241" t="b">
        <v>0</v>
      </c>
      <c r="C38" s="250" t="s">
        <v>10</v>
      </c>
      <c r="D38" s="251" t="s">
        <v>729</v>
      </c>
      <c r="F38" s="14"/>
      <c r="G38" s="14"/>
      <c r="H38" s="14"/>
    </row>
    <row r="39" spans="1:8" x14ac:dyDescent="0.25">
      <c r="A39" s="249" t="s">
        <v>17</v>
      </c>
      <c r="B39" s="241">
        <v>0</v>
      </c>
      <c r="C39" s="250" t="s">
        <v>18</v>
      </c>
      <c r="D39" s="251" t="s">
        <v>327</v>
      </c>
      <c r="F39" s="14"/>
      <c r="G39" s="14"/>
      <c r="H39" s="14"/>
    </row>
    <row r="40" spans="1:8" x14ac:dyDescent="0.25">
      <c r="A40" s="249" t="s">
        <v>19</v>
      </c>
      <c r="B40" s="241">
        <v>0</v>
      </c>
      <c r="C40" s="250" t="s">
        <v>18</v>
      </c>
      <c r="D40" s="251" t="s">
        <v>327</v>
      </c>
      <c r="F40" s="14"/>
      <c r="G40" s="14"/>
      <c r="H40" s="14"/>
    </row>
    <row r="41" spans="1:8" x14ac:dyDescent="0.25">
      <c r="A41" s="249" t="s">
        <v>20</v>
      </c>
      <c r="B41" s="241" t="s">
        <v>21</v>
      </c>
      <c r="C41" s="250" t="s">
        <v>10</v>
      </c>
      <c r="D41" s="251" t="s">
        <v>22</v>
      </c>
      <c r="F41" s="14"/>
      <c r="G41" s="14"/>
      <c r="H41" s="14"/>
    </row>
    <row r="42" spans="1:8" x14ac:dyDescent="0.25">
      <c r="A42" s="249" t="s">
        <v>23</v>
      </c>
      <c r="B42" s="246">
        <v>10</v>
      </c>
      <c r="C42" s="371" t="s">
        <v>24</v>
      </c>
      <c r="D42" s="347"/>
    </row>
    <row r="43" spans="1:8" x14ac:dyDescent="0.25">
      <c r="A43" s="249" t="s">
        <v>25</v>
      </c>
      <c r="B43" s="247">
        <v>3.55</v>
      </c>
      <c r="C43" s="371" t="s">
        <v>26</v>
      </c>
      <c r="D43" s="251" t="s">
        <v>323</v>
      </c>
    </row>
    <row r="44" spans="1:8" x14ac:dyDescent="0.25">
      <c r="A44" s="249" t="s">
        <v>28</v>
      </c>
      <c r="B44" s="247">
        <v>0.15</v>
      </c>
      <c r="C44" s="371" t="s">
        <v>26</v>
      </c>
      <c r="D44" s="251" t="s">
        <v>324</v>
      </c>
    </row>
    <row r="45" spans="1:8" x14ac:dyDescent="0.25">
      <c r="A45" s="249" t="s">
        <v>29</v>
      </c>
      <c r="B45" s="247" t="b">
        <v>1</v>
      </c>
      <c r="C45" s="250" t="s">
        <v>10</v>
      </c>
      <c r="D45" s="347"/>
    </row>
    <row r="46" spans="1:8" x14ac:dyDescent="0.25">
      <c r="A46" s="249" t="s">
        <v>30</v>
      </c>
      <c r="B46" s="247" t="b">
        <v>0</v>
      </c>
      <c r="C46" s="250" t="s">
        <v>10</v>
      </c>
      <c r="D46" s="347"/>
    </row>
    <row r="47" spans="1:8" x14ac:dyDescent="0.25">
      <c r="A47" s="249" t="s">
        <v>31</v>
      </c>
      <c r="B47" s="247" t="b">
        <v>0</v>
      </c>
      <c r="C47" s="250" t="s">
        <v>10</v>
      </c>
      <c r="D47" s="347"/>
    </row>
    <row r="48" spans="1:8" x14ac:dyDescent="0.25">
      <c r="A48" s="249" t="s">
        <v>32</v>
      </c>
      <c r="B48" s="247" t="b">
        <v>1</v>
      </c>
      <c r="C48" s="250" t="s">
        <v>10</v>
      </c>
      <c r="D48" s="251" t="s">
        <v>33</v>
      </c>
    </row>
    <row r="49" spans="1:4" ht="15.75" thickBot="1" x14ac:dyDescent="0.3">
      <c r="A49" s="374" t="s">
        <v>34</v>
      </c>
      <c r="B49" s="248" t="b">
        <v>1</v>
      </c>
      <c r="C49" s="27" t="s">
        <v>10</v>
      </c>
      <c r="D49" s="375"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xr:uid="{562A5957-46F1-4861-934D-C071EC3BCC4E}">
      <formula1>"Generation,Energy Storage,Demand"</formula1>
    </dataValidation>
    <dataValidation type="list" allowBlank="1" showInputMessage="1" showErrorMessage="1" sqref="B7" xr:uid="{28C706C4-52DA-47D5-957A-26CF2EDAD5B9}">
      <formula1>"1,2,3,4"</formula1>
    </dataValidation>
    <dataValidation type="decimal" showInputMessage="1" showErrorMessage="1" sqref="B43" xr:uid="{9517BBBB-AFEC-4880-87DA-D48354C41376}">
      <formula1>1</formula1>
      <formula2>99999999</formula2>
    </dataValidation>
    <dataValidation type="decimal" allowBlank="1" showInputMessage="1" showErrorMessage="1" sqref="B44" xr:uid="{8A06EC41-6034-44FA-ADCA-142CF6BFDAA4}">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F437A89B-FBEA-432C-9C23-6D45551F481B}">
          <x14:formula1>
            <xm:f>'Area values'!$K$2:$K$6</xm:f>
          </x14:formula1>
          <xm:sqref>B2</xm:sqref>
        </x14:dataValidation>
        <x14:dataValidation type="list" allowBlank="1" showInputMessage="1" showErrorMessage="1" xr:uid="{9E7C7219-EC57-4B4B-A0E6-4312361E8CC7}">
          <x14:formula1>
            <xm:f>'Area values'!$L$2:$L$3</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
  <sheetViews>
    <sheetView zoomScale="120" zoomScaleNormal="120" workbookViewId="0"/>
  </sheetViews>
  <sheetFormatPr defaultRowHeight="15" x14ac:dyDescent="0.25"/>
  <cols>
    <col min="1" max="1" width="33.140625" bestFit="1" customWidth="1"/>
    <col min="3" max="3" width="19.85546875" bestFit="1" customWidth="1"/>
    <col min="4" max="4" width="12" bestFit="1" customWidth="1"/>
    <col min="5" max="5" width="7.7109375" bestFit="1" customWidth="1"/>
    <col min="6" max="6" width="19.85546875" bestFit="1" customWidth="1"/>
    <col min="7" max="7" width="12" bestFit="1" customWidth="1"/>
    <col min="8" max="8" width="13.140625" bestFit="1" customWidth="1"/>
    <col min="11" max="11" width="12.5703125" customWidth="1"/>
    <col min="12" max="12" width="11" customWidth="1"/>
  </cols>
  <sheetData>
    <row r="1" spans="1:15" ht="15.75" thickBot="1" x14ac:dyDescent="0.3">
      <c r="A1" s="33"/>
      <c r="B1" s="383" t="s">
        <v>8</v>
      </c>
      <c r="C1" s="384"/>
      <c r="D1" s="385"/>
      <c r="E1" s="383" t="s">
        <v>35</v>
      </c>
      <c r="F1" s="384"/>
      <c r="G1" s="384"/>
      <c r="H1" s="310"/>
      <c r="K1" s="386" t="s">
        <v>841</v>
      </c>
      <c r="L1" s="387"/>
    </row>
    <row r="2" spans="1:15" x14ac:dyDescent="0.25">
      <c r="A2" s="61" t="s">
        <v>6</v>
      </c>
      <c r="B2" s="62" t="s">
        <v>36</v>
      </c>
      <c r="C2" s="63" t="s">
        <v>37</v>
      </c>
      <c r="D2" s="64" t="s">
        <v>38</v>
      </c>
      <c r="E2" s="62" t="s">
        <v>36</v>
      </c>
      <c r="F2" s="63" t="s">
        <v>37</v>
      </c>
      <c r="G2" s="63" t="s">
        <v>38</v>
      </c>
      <c r="H2" s="65" t="s">
        <v>39</v>
      </c>
      <c r="K2" s="312" t="s">
        <v>214</v>
      </c>
      <c r="L2" s="311" t="b">
        <v>1</v>
      </c>
    </row>
    <row r="3" spans="1:15" x14ac:dyDescent="0.25">
      <c r="A3" s="28" t="s">
        <v>40</v>
      </c>
      <c r="B3" s="38"/>
      <c r="C3" s="29"/>
      <c r="D3" s="41"/>
      <c r="E3" s="38"/>
      <c r="F3" s="29"/>
      <c r="G3" s="29"/>
      <c r="H3" s="34"/>
      <c r="K3" s="313" t="s">
        <v>215</v>
      </c>
      <c r="L3" s="311" t="b">
        <v>0</v>
      </c>
    </row>
    <row r="4" spans="1:15" x14ac:dyDescent="0.25">
      <c r="A4" s="45" t="s">
        <v>41</v>
      </c>
      <c r="B4" s="46">
        <v>50.2</v>
      </c>
      <c r="C4" s="57">
        <v>50.2</v>
      </c>
      <c r="D4" s="58">
        <v>50.2</v>
      </c>
      <c r="E4" s="46">
        <v>50.5</v>
      </c>
      <c r="F4" s="57">
        <v>50.5</v>
      </c>
      <c r="G4" s="57">
        <v>50.5</v>
      </c>
      <c r="H4" s="59">
        <f t="shared" ref="H4:H12" si="0">CHOOSE(IF(inp_Un&lt;110,0,1)+IF(inp_Un&gt;=300,1,0)+IF(inp_Area="DK1",0,3) + 1,B4,C4,D4,E4,F4,G4)</f>
        <v>50.2</v>
      </c>
      <c r="K4" s="313" t="s">
        <v>216</v>
      </c>
      <c r="L4" s="278"/>
      <c r="M4" s="309"/>
      <c r="N4" s="309"/>
      <c r="O4" s="309"/>
    </row>
    <row r="5" spans="1:15" x14ac:dyDescent="0.25">
      <c r="A5" s="30" t="s">
        <v>42</v>
      </c>
      <c r="B5" s="39">
        <v>5</v>
      </c>
      <c r="C5">
        <v>5</v>
      </c>
      <c r="D5" s="42">
        <v>5</v>
      </c>
      <c r="E5" s="39">
        <v>4</v>
      </c>
      <c r="F5">
        <v>4</v>
      </c>
      <c r="G5">
        <v>4</v>
      </c>
      <c r="H5" s="35">
        <f t="shared" si="0"/>
        <v>5</v>
      </c>
      <c r="K5" s="313" t="s">
        <v>842</v>
      </c>
      <c r="L5" s="278"/>
    </row>
    <row r="6" spans="1:15" x14ac:dyDescent="0.25">
      <c r="A6" s="30" t="s">
        <v>43</v>
      </c>
      <c r="B6" s="39">
        <v>49.8</v>
      </c>
      <c r="C6">
        <v>49.8</v>
      </c>
      <c r="D6" s="42">
        <v>49.8</v>
      </c>
      <c r="E6" s="39">
        <v>49.5</v>
      </c>
      <c r="F6">
        <v>49.5</v>
      </c>
      <c r="G6">
        <v>49.5</v>
      </c>
      <c r="H6" s="35">
        <f>CHOOSE(IF(inp_Un&lt;110,0,1)+IF(inp_Un&gt;=300,1,0)+IF(inp_Area="DK1",0,3) + 1,B6,C6,D6,E6,F6,G6)</f>
        <v>49.8</v>
      </c>
      <c r="K6" s="314" t="s">
        <v>217</v>
      </c>
      <c r="L6" s="56"/>
    </row>
    <row r="7" spans="1:15" x14ac:dyDescent="0.25">
      <c r="A7" s="30" t="s">
        <v>44</v>
      </c>
      <c r="B7" s="39">
        <v>5</v>
      </c>
      <c r="C7">
        <v>5</v>
      </c>
      <c r="D7" s="42">
        <v>5</v>
      </c>
      <c r="E7" s="39">
        <v>4</v>
      </c>
      <c r="F7">
        <v>4</v>
      </c>
      <c r="G7">
        <v>4</v>
      </c>
      <c r="H7" s="35">
        <f t="shared" si="0"/>
        <v>5</v>
      </c>
    </row>
    <row r="8" spans="1:15" x14ac:dyDescent="0.25">
      <c r="A8" s="30" t="s">
        <v>45</v>
      </c>
      <c r="B8" s="39">
        <v>0</v>
      </c>
      <c r="C8">
        <v>0</v>
      </c>
      <c r="D8" s="42">
        <v>0</v>
      </c>
      <c r="E8" s="39">
        <v>0</v>
      </c>
      <c r="F8">
        <v>0</v>
      </c>
      <c r="G8">
        <v>0</v>
      </c>
      <c r="H8" s="35">
        <f t="shared" si="0"/>
        <v>0</v>
      </c>
    </row>
    <row r="9" spans="1:15" x14ac:dyDescent="0.25">
      <c r="A9" s="30" t="s">
        <v>46</v>
      </c>
      <c r="B9" s="39">
        <v>6</v>
      </c>
      <c r="C9">
        <v>6</v>
      </c>
      <c r="D9" s="42">
        <v>6</v>
      </c>
      <c r="E9" s="39">
        <v>6</v>
      </c>
      <c r="F9">
        <v>6</v>
      </c>
      <c r="G9">
        <v>6</v>
      </c>
      <c r="H9" s="35">
        <f t="shared" si="0"/>
        <v>6</v>
      </c>
    </row>
    <row r="10" spans="1:15" x14ac:dyDescent="0.25">
      <c r="A10" s="30" t="s">
        <v>47</v>
      </c>
      <c r="B10" s="39">
        <v>10</v>
      </c>
      <c r="C10">
        <v>10</v>
      </c>
      <c r="D10" s="42">
        <v>10</v>
      </c>
      <c r="E10" s="39">
        <v>10</v>
      </c>
      <c r="F10">
        <v>10</v>
      </c>
      <c r="G10">
        <v>10</v>
      </c>
      <c r="H10" s="35">
        <f t="shared" si="0"/>
        <v>10</v>
      </c>
    </row>
    <row r="11" spans="1:15" x14ac:dyDescent="0.25">
      <c r="A11" s="30" t="s">
        <v>48</v>
      </c>
      <c r="B11" s="39">
        <v>51.5</v>
      </c>
      <c r="C11">
        <v>51.5</v>
      </c>
      <c r="D11" s="42">
        <v>51.5</v>
      </c>
      <c r="E11" s="39">
        <v>51.5</v>
      </c>
      <c r="F11">
        <v>51.5</v>
      </c>
      <c r="G11">
        <v>51.5</v>
      </c>
      <c r="H11" s="35">
        <f t="shared" si="0"/>
        <v>51.5</v>
      </c>
    </row>
    <row r="12" spans="1:15" x14ac:dyDescent="0.25">
      <c r="A12" s="50" t="s">
        <v>49</v>
      </c>
      <c r="B12" s="51">
        <v>47.5</v>
      </c>
      <c r="C12" s="55">
        <v>47.5</v>
      </c>
      <c r="D12" s="56">
        <v>47.5</v>
      </c>
      <c r="E12" s="51">
        <v>47.5</v>
      </c>
      <c r="F12" s="55">
        <v>47.5</v>
      </c>
      <c r="G12" s="55">
        <v>47.5</v>
      </c>
      <c r="H12" s="60">
        <f t="shared" si="0"/>
        <v>47.5</v>
      </c>
    </row>
    <row r="13" spans="1:15" x14ac:dyDescent="0.25">
      <c r="A13" s="28" t="s">
        <v>50</v>
      </c>
      <c r="B13" s="39"/>
      <c r="D13" s="42"/>
      <c r="E13" s="39"/>
      <c r="H13" s="35"/>
    </row>
    <row r="14" spans="1:15" x14ac:dyDescent="0.25">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25">
      <c r="A15" s="30" t="s">
        <v>52</v>
      </c>
      <c r="B15" s="39">
        <v>0.9</v>
      </c>
      <c r="C15" s="7">
        <v>0.96799999999999997</v>
      </c>
      <c r="D15" s="43">
        <v>0.9</v>
      </c>
      <c r="E15" s="39">
        <v>0.9</v>
      </c>
      <c r="F15" s="7">
        <v>0.9</v>
      </c>
      <c r="G15" s="7">
        <v>0.9</v>
      </c>
      <c r="H15" s="36">
        <f t="shared" si="1"/>
        <v>0.96799999999999997</v>
      </c>
    </row>
    <row r="16" spans="1:15" x14ac:dyDescent="0.25">
      <c r="A16" s="30" t="s">
        <v>53</v>
      </c>
      <c r="B16" s="39">
        <v>1.04</v>
      </c>
      <c r="C16" s="7">
        <v>1.1080000000000001</v>
      </c>
      <c r="D16" s="43">
        <v>1.04</v>
      </c>
      <c r="E16" s="39">
        <v>1.04</v>
      </c>
      <c r="F16" s="7">
        <v>1.04</v>
      </c>
      <c r="G16" s="7">
        <v>1.04</v>
      </c>
      <c r="H16" s="36">
        <f t="shared" si="1"/>
        <v>1.1080000000000001</v>
      </c>
    </row>
    <row r="17" spans="1:8" x14ac:dyDescent="0.25">
      <c r="A17" s="30" t="s">
        <v>54</v>
      </c>
      <c r="B17" s="39">
        <v>0.9</v>
      </c>
      <c r="C17" s="7">
        <v>0.96799999999999997</v>
      </c>
      <c r="D17" s="43">
        <v>0.9</v>
      </c>
      <c r="E17" s="39">
        <v>0.9</v>
      </c>
      <c r="F17" s="7">
        <v>0.9</v>
      </c>
      <c r="G17" s="7">
        <v>0.9</v>
      </c>
      <c r="H17" s="36">
        <f t="shared" si="1"/>
        <v>0.96799999999999997</v>
      </c>
    </row>
    <row r="18" spans="1:8" x14ac:dyDescent="0.25">
      <c r="A18" s="30" t="s">
        <v>55</v>
      </c>
      <c r="B18" s="39">
        <v>1.05</v>
      </c>
      <c r="C18" s="7">
        <v>1.1180000000000001</v>
      </c>
      <c r="D18" s="43">
        <v>1.05</v>
      </c>
      <c r="E18" s="39">
        <v>1.05</v>
      </c>
      <c r="F18" s="7">
        <v>1.05</v>
      </c>
      <c r="G18" s="7">
        <v>1.05</v>
      </c>
      <c r="H18" s="36">
        <f t="shared" si="1"/>
        <v>1.1180000000000001</v>
      </c>
    </row>
    <row r="19" spans="1:8" x14ac:dyDescent="0.25">
      <c r="A19" s="30" t="s">
        <v>56</v>
      </c>
      <c r="B19" s="39">
        <v>0.96</v>
      </c>
      <c r="C19" s="7">
        <v>1.028</v>
      </c>
      <c r="D19" s="43">
        <v>0.96</v>
      </c>
      <c r="E19" s="39">
        <v>0.96</v>
      </c>
      <c r="F19" s="7">
        <v>0.96</v>
      </c>
      <c r="G19" s="7">
        <v>0.96</v>
      </c>
      <c r="H19" s="36">
        <f t="shared" si="1"/>
        <v>1.028</v>
      </c>
    </row>
    <row r="20" spans="1:8" x14ac:dyDescent="0.25">
      <c r="A20" s="30" t="s">
        <v>57</v>
      </c>
      <c r="B20" s="39">
        <v>1.1000000000000001</v>
      </c>
      <c r="C20" s="7">
        <v>1.1180000000000001</v>
      </c>
      <c r="D20" s="43">
        <v>1.05</v>
      </c>
      <c r="E20" s="39">
        <v>1.1000000000000001</v>
      </c>
      <c r="F20" s="7">
        <v>1.05</v>
      </c>
      <c r="G20" s="7">
        <v>1.05</v>
      </c>
      <c r="H20" s="36">
        <f t="shared" si="1"/>
        <v>1.1180000000000001</v>
      </c>
    </row>
    <row r="21" spans="1:8" x14ac:dyDescent="0.25">
      <c r="A21" s="30" t="s">
        <v>58</v>
      </c>
      <c r="B21" s="39">
        <v>0.9</v>
      </c>
      <c r="C21" s="7">
        <v>0.9</v>
      </c>
      <c r="D21" s="43">
        <v>0.9</v>
      </c>
      <c r="E21" s="39">
        <v>0.9</v>
      </c>
      <c r="F21" s="7">
        <v>0.9</v>
      </c>
      <c r="G21" s="7">
        <v>0.9</v>
      </c>
      <c r="H21" s="36">
        <f t="shared" si="1"/>
        <v>0.9</v>
      </c>
    </row>
    <row r="22" spans="1:8" x14ac:dyDescent="0.25">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25">
      <c r="A23" s="50" t="s">
        <v>60</v>
      </c>
      <c r="B23" s="51">
        <v>0.9</v>
      </c>
      <c r="C23" s="52">
        <v>0.85</v>
      </c>
      <c r="D23" s="53">
        <v>0.85</v>
      </c>
      <c r="E23" s="51">
        <v>0.9</v>
      </c>
      <c r="F23" s="52">
        <v>0.9</v>
      </c>
      <c r="G23" s="52">
        <v>0.9</v>
      </c>
      <c r="H23" s="54">
        <f t="shared" si="1"/>
        <v>0.85</v>
      </c>
    </row>
    <row r="24" spans="1:8" x14ac:dyDescent="0.25">
      <c r="A24" s="28" t="s">
        <v>61</v>
      </c>
      <c r="B24" s="39"/>
      <c r="D24" s="42"/>
      <c r="E24" s="39"/>
      <c r="H24" s="35"/>
    </row>
    <row r="25" spans="1:8" x14ac:dyDescent="0.25">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25">
      <c r="A26" s="30" t="s">
        <v>63</v>
      </c>
      <c r="B26" s="39">
        <v>0.9</v>
      </c>
      <c r="C26" s="7">
        <v>0.85</v>
      </c>
      <c r="D26" s="43">
        <v>0.85</v>
      </c>
      <c r="E26" s="39">
        <v>0.9</v>
      </c>
      <c r="F26" s="7">
        <v>0.9</v>
      </c>
      <c r="G26" s="7">
        <v>0.9</v>
      </c>
      <c r="H26" s="36">
        <f t="shared" si="2"/>
        <v>0.85</v>
      </c>
    </row>
    <row r="27" spans="1:8" x14ac:dyDescent="0.25">
      <c r="A27" s="30" t="s">
        <v>64</v>
      </c>
      <c r="B27" s="39">
        <v>0.15</v>
      </c>
      <c r="C27">
        <v>0</v>
      </c>
      <c r="D27" s="42">
        <v>0</v>
      </c>
      <c r="E27" s="39">
        <v>0.15</v>
      </c>
      <c r="F27">
        <v>0</v>
      </c>
      <c r="G27">
        <v>0</v>
      </c>
      <c r="H27" s="36">
        <f t="shared" si="2"/>
        <v>0</v>
      </c>
    </row>
    <row r="28" spans="1:8" x14ac:dyDescent="0.25">
      <c r="A28" s="30" t="s">
        <v>65</v>
      </c>
      <c r="B28" s="39">
        <v>0.25</v>
      </c>
      <c r="C28">
        <v>0.15</v>
      </c>
      <c r="D28" s="42">
        <v>0.15</v>
      </c>
      <c r="E28" s="39">
        <v>0.25</v>
      </c>
      <c r="F28">
        <v>0.15</v>
      </c>
      <c r="G28">
        <v>0.15</v>
      </c>
      <c r="H28" s="36">
        <f t="shared" si="2"/>
        <v>0.15</v>
      </c>
    </row>
    <row r="29" spans="1:8" x14ac:dyDescent="0.25">
      <c r="A29" s="30" t="s">
        <v>66</v>
      </c>
      <c r="B29" s="39">
        <v>0.15</v>
      </c>
      <c r="C29">
        <v>0</v>
      </c>
      <c r="D29" s="42">
        <v>0</v>
      </c>
      <c r="E29" s="39">
        <v>0.15</v>
      </c>
      <c r="F29">
        <v>0</v>
      </c>
      <c r="G29">
        <v>0</v>
      </c>
      <c r="H29" s="36">
        <f t="shared" si="2"/>
        <v>0</v>
      </c>
    </row>
    <row r="30" spans="1:8" x14ac:dyDescent="0.25">
      <c r="A30" s="30" t="s">
        <v>67</v>
      </c>
      <c r="B30" s="39">
        <v>0.25</v>
      </c>
      <c r="C30">
        <v>0.15</v>
      </c>
      <c r="D30" s="42">
        <v>0.15</v>
      </c>
      <c r="E30" s="39">
        <v>0.25</v>
      </c>
      <c r="F30">
        <v>0.15</v>
      </c>
      <c r="G30">
        <v>0.15</v>
      </c>
      <c r="H30" s="36">
        <f t="shared" si="2"/>
        <v>0.15</v>
      </c>
    </row>
    <row r="31" spans="1:8" x14ac:dyDescent="0.25">
      <c r="A31" s="30" t="s">
        <v>68</v>
      </c>
      <c r="B31" s="39">
        <v>0.15</v>
      </c>
      <c r="C31">
        <v>0</v>
      </c>
      <c r="D31" s="42">
        <v>0</v>
      </c>
      <c r="E31" s="39">
        <v>0.15</v>
      </c>
      <c r="F31">
        <v>0</v>
      </c>
      <c r="G31">
        <v>0</v>
      </c>
      <c r="H31" s="36">
        <f t="shared" si="2"/>
        <v>0</v>
      </c>
    </row>
    <row r="32" spans="1:8" x14ac:dyDescent="0.25">
      <c r="A32" s="30" t="s">
        <v>69</v>
      </c>
      <c r="B32" s="39">
        <v>0.25</v>
      </c>
      <c r="C32">
        <v>0.15</v>
      </c>
      <c r="D32" s="42">
        <v>0.15</v>
      </c>
      <c r="E32" s="39">
        <v>0.25</v>
      </c>
      <c r="F32">
        <v>0.15</v>
      </c>
      <c r="G32">
        <v>0.15</v>
      </c>
      <c r="H32" s="36">
        <f t="shared" si="2"/>
        <v>0.15</v>
      </c>
    </row>
    <row r="33" spans="1:8" x14ac:dyDescent="0.25">
      <c r="A33" s="30" t="s">
        <v>70</v>
      </c>
      <c r="B33" s="39">
        <v>0.9</v>
      </c>
      <c r="C33" s="7">
        <v>0.85</v>
      </c>
      <c r="D33" s="43">
        <v>0.85</v>
      </c>
      <c r="E33" s="39">
        <v>0.9</v>
      </c>
      <c r="F33" s="7">
        <v>0.9</v>
      </c>
      <c r="G33" s="7">
        <v>0.9</v>
      </c>
      <c r="H33" s="36">
        <f t="shared" si="2"/>
        <v>0.85</v>
      </c>
    </row>
    <row r="34" spans="1:8" x14ac:dyDescent="0.25">
      <c r="A34" s="50" t="s">
        <v>71</v>
      </c>
      <c r="B34" s="51">
        <v>1.5</v>
      </c>
      <c r="C34" s="55">
        <v>1.5</v>
      </c>
      <c r="D34" s="56">
        <v>1.5</v>
      </c>
      <c r="E34" s="51">
        <v>1.5</v>
      </c>
      <c r="F34" s="55">
        <v>1.5</v>
      </c>
      <c r="G34" s="55">
        <v>1.5</v>
      </c>
      <c r="H34" s="54">
        <f t="shared" si="2"/>
        <v>1.5</v>
      </c>
    </row>
    <row r="35" spans="1:8" x14ac:dyDescent="0.25">
      <c r="A35" s="28" t="s">
        <v>72</v>
      </c>
      <c r="B35" s="39"/>
      <c r="D35" s="42"/>
      <c r="E35" s="39"/>
      <c r="H35" s="35"/>
    </row>
    <row r="36" spans="1:8" x14ac:dyDescent="0.25">
      <c r="A36" s="45" t="s">
        <v>73</v>
      </c>
      <c r="B36" s="46">
        <v>1.2</v>
      </c>
      <c r="C36" s="47">
        <v>1.3</v>
      </c>
      <c r="D36" s="48">
        <v>1.3</v>
      </c>
      <c r="E36" s="46">
        <v>1.2</v>
      </c>
      <c r="F36" s="47">
        <v>1.3</v>
      </c>
      <c r="G36" s="47">
        <v>1.3</v>
      </c>
      <c r="H36" s="49">
        <f>CHOOSE(IF(inp_Un&lt;110,0,1)+IF(inp_Un&gt;=300,1,0)+IF(inp_Area="DK1",0,3) + 1,B36,C36,D36,E36,F36,G36)</f>
        <v>1.3</v>
      </c>
    </row>
    <row r="37" spans="1:8" x14ac:dyDescent="0.25">
      <c r="A37" s="30" t="s">
        <v>74</v>
      </c>
      <c r="B37" s="39">
        <v>5</v>
      </c>
      <c r="C37">
        <v>0.1</v>
      </c>
      <c r="D37" s="42">
        <v>0.1</v>
      </c>
      <c r="E37" s="39">
        <v>5</v>
      </c>
      <c r="F37">
        <v>0.1</v>
      </c>
      <c r="G37">
        <v>0.1</v>
      </c>
      <c r="H37" s="36">
        <f>CHOOSE(IF(inp_Un&lt;110,0,1)+IF(inp_Un&gt;=300,1,0)+IF(inp_Area="DK1",0,3) + 1,B37,C37,D37,E37,F37,G37)</f>
        <v>0.1</v>
      </c>
    </row>
    <row r="38" spans="1:8" x14ac:dyDescent="0.25">
      <c r="A38" s="30" t="s">
        <v>75</v>
      </c>
      <c r="B38" s="39">
        <v>1.1499999999999999</v>
      </c>
      <c r="C38" s="7">
        <v>1.2</v>
      </c>
      <c r="D38" s="43">
        <v>1.2</v>
      </c>
      <c r="E38" s="39">
        <v>1.1499999999999999</v>
      </c>
      <c r="F38" s="7">
        <v>1.2</v>
      </c>
      <c r="G38" s="7">
        <v>1.2</v>
      </c>
      <c r="H38" s="36">
        <f>CHOOSE(IF(inp_Un&lt;110,0,1)+IF(inp_Un&gt;=300,1,0)+IF(inp_Area="DK1",0,3) + 1,B38,C38,D38,E38,F38,G38)</f>
        <v>1.2</v>
      </c>
    </row>
    <row r="39" spans="1:8" ht="15.75" thickBot="1" x14ac:dyDescent="0.3">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customWidth="1"/>
    <col min="13" max="13" width="8.42578125" style="1" bestFit="1" customWidth="1"/>
    <col min="14" max="14" width="14.7109375" style="1" bestFit="1" customWidth="1"/>
    <col min="15" max="15" width="20.7109375" style="1" customWidth="1"/>
    <col min="16" max="16" width="22.85546875" style="96" bestFit="1" customWidth="1"/>
    <col min="17" max="17" width="9.7109375" style="96" bestFit="1" customWidth="1"/>
    <col min="18" max="18" width="35" style="96" bestFit="1" customWidth="1"/>
    <col min="19" max="19" width="16.5703125" style="96" bestFit="1" customWidth="1"/>
    <col min="20" max="20" width="17.5703125" style="1" bestFit="1" customWidth="1"/>
    <col min="21" max="21" width="9.7109375" style="1" bestFit="1" customWidth="1"/>
    <col min="22" max="22" width="25" style="1" bestFit="1" customWidth="1"/>
    <col min="23" max="23" width="16.5703125" style="1" customWidth="1"/>
    <col min="24" max="24" width="12" style="96" bestFit="1" customWidth="1"/>
    <col min="25" max="25" width="9.7109375" style="96" bestFit="1" customWidth="1"/>
    <col min="26" max="26" width="12.42578125" style="96" bestFit="1" customWidth="1"/>
    <col min="27" max="27" width="16.5703125" style="96"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96" bestFit="1" customWidth="1"/>
    <col min="33" max="33" width="9.7109375" style="96" bestFit="1" customWidth="1"/>
    <col min="34" max="34" width="12.42578125" style="96" bestFit="1" customWidth="1"/>
    <col min="35" max="35" width="16.5703125" style="96"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96" bestFit="1" customWidth="1"/>
    <col min="41" max="41" width="9.7109375" style="96" bestFit="1" customWidth="1"/>
    <col min="42" max="42" width="12.42578125" style="96" bestFit="1" customWidth="1"/>
    <col min="43" max="43" width="16.5703125" style="96"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96" customWidth="1"/>
    <col min="49" max="49" width="9.7109375" style="96" bestFit="1" customWidth="1"/>
    <col min="50" max="50" width="12.42578125" style="96" bestFit="1" customWidth="1"/>
    <col min="51" max="51" width="16.5703125" style="96"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96" customWidth="1"/>
    <col min="57" max="57" width="9.7109375" style="96" bestFit="1" customWidth="1"/>
    <col min="58" max="58" width="12.42578125" style="96" bestFit="1" customWidth="1"/>
    <col min="59" max="59" width="16.5703125" style="96" bestFit="1" customWidth="1"/>
    <col min="60" max="60" width="13" style="1" customWidth="1"/>
    <col min="61" max="61" width="9.7109375" style="1" bestFit="1" customWidth="1"/>
    <col min="62" max="62" width="12.42578125" style="1" bestFit="1" customWidth="1"/>
    <col min="63" max="63" width="16.5703125" style="68" bestFit="1" customWidth="1"/>
    <col min="64" max="64" width="12.85546875" style="96" customWidth="1"/>
    <col min="65" max="65" width="9.7109375" style="96" bestFit="1" customWidth="1"/>
    <col min="66" max="66" width="12.42578125" style="96" bestFit="1" customWidth="1"/>
    <col min="67" max="67" width="16.5703125" style="96" bestFit="1" customWidth="1"/>
    <col min="68" max="16384" width="9.140625" style="1"/>
  </cols>
  <sheetData>
    <row r="1" spans="1:67" x14ac:dyDescent="0.25">
      <c r="A1" s="389" t="s">
        <v>492</v>
      </c>
      <c r="B1" s="389"/>
      <c r="C1" s="389"/>
      <c r="D1" s="389"/>
      <c r="E1" s="390" t="s">
        <v>493</v>
      </c>
      <c r="F1" s="391"/>
      <c r="G1" s="391"/>
      <c r="H1" s="391"/>
      <c r="I1" s="391"/>
      <c r="J1" s="391"/>
      <c r="K1" s="391"/>
      <c r="L1" s="391"/>
      <c r="M1" s="391"/>
      <c r="N1" s="391"/>
      <c r="O1" s="392"/>
      <c r="P1" s="388" t="s">
        <v>77</v>
      </c>
      <c r="Q1" s="388"/>
      <c r="R1" s="388"/>
      <c r="S1" s="388"/>
      <c r="T1" s="389" t="s">
        <v>78</v>
      </c>
      <c r="U1" s="389"/>
      <c r="V1" s="389"/>
      <c r="W1" s="389"/>
      <c r="X1" s="388" t="s">
        <v>79</v>
      </c>
      <c r="Y1" s="388"/>
      <c r="Z1" s="388"/>
      <c r="AA1" s="388"/>
      <c r="AB1" s="389" t="s">
        <v>80</v>
      </c>
      <c r="AC1" s="389"/>
      <c r="AD1" s="389"/>
      <c r="AE1" s="389"/>
      <c r="AF1" s="388" t="s">
        <v>81</v>
      </c>
      <c r="AG1" s="388"/>
      <c r="AH1" s="388"/>
      <c r="AI1" s="388"/>
      <c r="AJ1" s="389" t="s">
        <v>82</v>
      </c>
      <c r="AK1" s="389"/>
      <c r="AL1" s="389"/>
      <c r="AM1" s="389"/>
      <c r="AN1" s="388" t="s">
        <v>83</v>
      </c>
      <c r="AO1" s="388"/>
      <c r="AP1" s="388"/>
      <c r="AQ1" s="388"/>
      <c r="AR1" s="389" t="s">
        <v>84</v>
      </c>
      <c r="AS1" s="389"/>
      <c r="AT1" s="389"/>
      <c r="AU1" s="389"/>
      <c r="AV1" s="388" t="s">
        <v>85</v>
      </c>
      <c r="AW1" s="388"/>
      <c r="AX1" s="388"/>
      <c r="AY1" s="388"/>
      <c r="AZ1" s="389" t="s">
        <v>86</v>
      </c>
      <c r="BA1" s="389"/>
      <c r="BB1" s="389"/>
      <c r="BC1" s="389"/>
      <c r="BD1" s="388" t="s">
        <v>87</v>
      </c>
      <c r="BE1" s="388"/>
      <c r="BF1" s="388"/>
      <c r="BG1" s="388"/>
      <c r="BH1" s="389" t="s">
        <v>88</v>
      </c>
      <c r="BI1" s="389"/>
      <c r="BJ1" s="389"/>
      <c r="BK1" s="389"/>
      <c r="BL1" s="388" t="s">
        <v>497</v>
      </c>
      <c r="BM1" s="388"/>
      <c r="BN1" s="388"/>
      <c r="BO1" s="388"/>
    </row>
    <row r="2" spans="1:67" s="11" customFormat="1" ht="30" customHeight="1" x14ac:dyDescent="0.25">
      <c r="A2" s="9" t="s">
        <v>89</v>
      </c>
      <c r="B2" s="10" t="s">
        <v>90</v>
      </c>
      <c r="C2" s="10" t="s">
        <v>91</v>
      </c>
      <c r="D2" s="11" t="s">
        <v>92</v>
      </c>
      <c r="E2" s="12" t="s">
        <v>93</v>
      </c>
      <c r="F2" s="12" t="s">
        <v>94</v>
      </c>
      <c r="G2" s="243" t="s">
        <v>551</v>
      </c>
      <c r="H2" s="12" t="s">
        <v>225</v>
      </c>
      <c r="I2" s="12" t="s">
        <v>96</v>
      </c>
      <c r="J2" s="12" t="s">
        <v>97</v>
      </c>
      <c r="K2" s="12" t="s">
        <v>547</v>
      </c>
      <c r="L2" s="12" t="s">
        <v>98</v>
      </c>
      <c r="M2" s="12" t="s">
        <v>99</v>
      </c>
      <c r="N2" s="12" t="s">
        <v>731</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25">
      <c r="A3" s="1">
        <v>1</v>
      </c>
      <c r="B3" s="117" t="b">
        <v>1</v>
      </c>
      <c r="C3" s="117" t="b">
        <v>1</v>
      </c>
      <c r="D3" s="118" t="s">
        <v>553</v>
      </c>
      <c r="E3" s="24">
        <f t="shared" ref="E3:E8" si="0">inp_Uc/inp_Un</f>
        <v>0.02</v>
      </c>
      <c r="F3" s="119">
        <v>0</v>
      </c>
      <c r="G3" s="119" t="s">
        <v>105</v>
      </c>
      <c r="H3" s="119" t="s">
        <v>219</v>
      </c>
      <c r="I3" s="120" t="s">
        <v>21</v>
      </c>
      <c r="J3" s="119">
        <v>0</v>
      </c>
      <c r="K3" s="119" t="s">
        <v>105</v>
      </c>
      <c r="L3" s="119">
        <f t="shared" ref="L3:L8" si="1">inp_scr_min</f>
        <v>10</v>
      </c>
      <c r="M3" s="119">
        <f t="shared" ref="M3:M8" si="2">inp_xr_min</f>
        <v>0.5</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25">
      <c r="A4" s="1">
        <v>2</v>
      </c>
      <c r="B4" s="117" t="b">
        <v>1</v>
      </c>
      <c r="C4" s="117" t="b">
        <v>1</v>
      </c>
      <c r="D4" s="118" t="s">
        <v>554</v>
      </c>
      <c r="E4" s="24">
        <f t="shared" si="0"/>
        <v>0.02</v>
      </c>
      <c r="F4" s="119">
        <v>0.5</v>
      </c>
      <c r="G4" s="119" t="s">
        <v>105</v>
      </c>
      <c r="H4" s="119" t="s">
        <v>219</v>
      </c>
      <c r="I4" s="120" t="s">
        <v>21</v>
      </c>
      <c r="J4" s="119">
        <v>0.2</v>
      </c>
      <c r="K4" s="119" t="s">
        <v>105</v>
      </c>
      <c r="L4" s="119">
        <f t="shared" si="1"/>
        <v>10</v>
      </c>
      <c r="M4" s="119">
        <f t="shared" si="2"/>
        <v>0.5</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25">
      <c r="A5" s="1">
        <v>3</v>
      </c>
      <c r="B5" s="117" t="b">
        <v>1</v>
      </c>
      <c r="C5" s="117" t="b">
        <v>1</v>
      </c>
      <c r="D5" s="118" t="s">
        <v>555</v>
      </c>
      <c r="E5" s="24">
        <f t="shared" si="0"/>
        <v>0.02</v>
      </c>
      <c r="F5" s="119">
        <v>0.5</v>
      </c>
      <c r="G5" s="119" t="s">
        <v>105</v>
      </c>
      <c r="H5" s="119" t="s">
        <v>219</v>
      </c>
      <c r="I5" s="120" t="s">
        <v>21</v>
      </c>
      <c r="J5" s="119">
        <v>-0.2</v>
      </c>
      <c r="K5" s="119" t="s">
        <v>105</v>
      </c>
      <c r="L5" s="119">
        <f t="shared" si="1"/>
        <v>10</v>
      </c>
      <c r="M5" s="119">
        <f t="shared" si="2"/>
        <v>0.5</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25">
      <c r="A6" s="1">
        <v>4</v>
      </c>
      <c r="B6" s="117" t="b">
        <v>1</v>
      </c>
      <c r="C6" s="117" t="b">
        <v>1</v>
      </c>
      <c r="D6" s="118" t="s">
        <v>556</v>
      </c>
      <c r="E6" s="24">
        <f t="shared" si="0"/>
        <v>0.02</v>
      </c>
      <c r="F6" s="119">
        <v>1</v>
      </c>
      <c r="G6" s="119" t="s">
        <v>105</v>
      </c>
      <c r="H6" s="119" t="s">
        <v>219</v>
      </c>
      <c r="I6" s="120" t="s">
        <v>21</v>
      </c>
      <c r="J6" s="119">
        <v>0.33</v>
      </c>
      <c r="K6" s="119" t="s">
        <v>105</v>
      </c>
      <c r="L6" s="119">
        <f t="shared" si="1"/>
        <v>10</v>
      </c>
      <c r="M6" s="119">
        <f t="shared" si="2"/>
        <v>0.5</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25">
      <c r="A7" s="1">
        <v>5</v>
      </c>
      <c r="B7" s="117" t="b">
        <v>1</v>
      </c>
      <c r="C7" s="117" t="b">
        <v>1</v>
      </c>
      <c r="D7" s="118" t="s">
        <v>557</v>
      </c>
      <c r="E7" s="24">
        <f t="shared" si="0"/>
        <v>0.02</v>
      </c>
      <c r="F7" s="119">
        <v>1</v>
      </c>
      <c r="G7" s="119" t="s">
        <v>105</v>
      </c>
      <c r="H7" s="119" t="s">
        <v>219</v>
      </c>
      <c r="I7" s="120" t="s">
        <v>21</v>
      </c>
      <c r="J7" s="119">
        <v>-0.33</v>
      </c>
      <c r="K7" s="119" t="s">
        <v>105</v>
      </c>
      <c r="L7" s="119">
        <f t="shared" si="1"/>
        <v>10</v>
      </c>
      <c r="M7" s="119">
        <f t="shared" si="2"/>
        <v>0.5</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25">
      <c r="A8" s="1">
        <v>6</v>
      </c>
      <c r="B8" s="117" t="b">
        <v>1</v>
      </c>
      <c r="C8" s="117" t="b">
        <v>1</v>
      </c>
      <c r="D8" s="118" t="s">
        <v>558</v>
      </c>
      <c r="E8" s="24">
        <f t="shared" si="0"/>
        <v>0.02</v>
      </c>
      <c r="F8" s="119">
        <v>1</v>
      </c>
      <c r="G8" s="119" t="s">
        <v>105</v>
      </c>
      <c r="H8" s="119" t="s">
        <v>219</v>
      </c>
      <c r="I8" s="120" t="s">
        <v>21</v>
      </c>
      <c r="J8" s="119">
        <v>0</v>
      </c>
      <c r="K8" s="119" t="s">
        <v>105</v>
      </c>
      <c r="L8" s="119">
        <f t="shared" si="1"/>
        <v>10</v>
      </c>
      <c r="M8" s="119">
        <f t="shared" si="2"/>
        <v>0.5</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25">
      <c r="A9" s="1">
        <v>7</v>
      </c>
      <c r="B9" s="117" t="b">
        <v>1</v>
      </c>
      <c r="C9" s="117" t="b">
        <v>1</v>
      </c>
      <c r="D9" s="118" t="s">
        <v>559</v>
      </c>
      <c r="E9" s="24">
        <f>sel_uq_q0.33_umin</f>
        <v>0.96799999999999997</v>
      </c>
      <c r="F9" s="119">
        <v>0.7</v>
      </c>
      <c r="G9" s="119" t="s">
        <v>105</v>
      </c>
      <c r="H9" s="119" t="s">
        <v>219</v>
      </c>
      <c r="I9" s="120" t="s">
        <v>110</v>
      </c>
      <c r="J9" s="24">
        <f t="shared" ref="J9:J10" si="3">inp_Uc/inp_Un</f>
        <v>0.02</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25">
      <c r="A10" s="1">
        <v>8</v>
      </c>
      <c r="B10" s="117" t="b">
        <v>1</v>
      </c>
      <c r="C10" s="117" t="b">
        <v>1</v>
      </c>
      <c r="D10" s="118" t="s">
        <v>560</v>
      </c>
      <c r="E10" s="24">
        <f>sel_uq_q0.33ue_umax</f>
        <v>1.1180000000000001</v>
      </c>
      <c r="F10" s="119">
        <v>0.7</v>
      </c>
      <c r="G10" s="119" t="s">
        <v>105</v>
      </c>
      <c r="H10" s="119" t="s">
        <v>219</v>
      </c>
      <c r="I10" s="120" t="s">
        <v>110</v>
      </c>
      <c r="J10" s="24">
        <f t="shared" si="3"/>
        <v>0.02</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25">
      <c r="A11" s="1">
        <v>9</v>
      </c>
      <c r="B11" s="117" t="b">
        <v>1</v>
      </c>
      <c r="C11" s="117" t="b">
        <v>1</v>
      </c>
      <c r="D11" s="118" t="s">
        <v>562</v>
      </c>
      <c r="E11" s="24">
        <f t="shared" ref="E11:E12" si="4">inp_Uc/inp_Un</f>
        <v>0.02</v>
      </c>
      <c r="F11" s="119">
        <v>0.7</v>
      </c>
      <c r="G11" s="119" t="s">
        <v>105</v>
      </c>
      <c r="H11" s="119" t="s">
        <v>219</v>
      </c>
      <c r="I11" s="120" t="s">
        <v>112</v>
      </c>
      <c r="J11" s="119">
        <v>0.94899999999999995</v>
      </c>
      <c r="K11" s="119" t="s">
        <v>105</v>
      </c>
      <c r="L11" s="119">
        <f t="shared" ref="L11:L12" si="5">inp_scr_min</f>
        <v>10</v>
      </c>
      <c r="M11" s="119">
        <f t="shared" ref="M11:M12" si="6">inp_xr_min</f>
        <v>0.5</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25">
      <c r="A12" s="1">
        <v>10</v>
      </c>
      <c r="B12" s="117" t="b">
        <v>1</v>
      </c>
      <c r="C12" s="117" t="b">
        <v>1</v>
      </c>
      <c r="D12" s="118" t="s">
        <v>561</v>
      </c>
      <c r="E12" s="24">
        <f t="shared" si="4"/>
        <v>0.02</v>
      </c>
      <c r="F12" s="119">
        <v>0.7</v>
      </c>
      <c r="G12" s="119" t="s">
        <v>105</v>
      </c>
      <c r="H12" s="119" t="s">
        <v>219</v>
      </c>
      <c r="I12" s="120" t="s">
        <v>112</v>
      </c>
      <c r="J12" s="119">
        <v>-0.94899999999999995</v>
      </c>
      <c r="K12" s="119" t="s">
        <v>105</v>
      </c>
      <c r="L12" s="119">
        <f t="shared" si="5"/>
        <v>10</v>
      </c>
      <c r="M12" s="119">
        <f t="shared" si="6"/>
        <v>0.5</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25">
      <c r="A13" s="1">
        <v>11</v>
      </c>
      <c r="B13" s="117" t="b">
        <v>1</v>
      </c>
      <c r="C13" s="117" t="b">
        <v>1</v>
      </c>
      <c r="D13" s="118" t="s">
        <v>563</v>
      </c>
      <c r="E13" s="24">
        <f t="shared" ref="E13:E42" si="7">inp_Uc/inp_Un</f>
        <v>0.02</v>
      </c>
      <c r="F13" s="24">
        <v>0</v>
      </c>
      <c r="G13" s="24" t="s">
        <v>105</v>
      </c>
      <c r="H13" s="119" t="s">
        <v>219</v>
      </c>
      <c r="I13" s="120" t="s">
        <v>105</v>
      </c>
      <c r="J13" s="24">
        <f t="shared" ref="J13:J29" si="8">IF(inp_default="Q(U)",E13,IF(inp_default="PF",1,0))</f>
        <v>0</v>
      </c>
      <c r="K13" s="24" t="s">
        <v>105</v>
      </c>
      <c r="L13" s="119">
        <f t="shared" ref="L13:L31" si="9">inp_scr_min</f>
        <v>10</v>
      </c>
      <c r="M13" s="119">
        <f t="shared" ref="M13:M31" si="10">inp_xr_min</f>
        <v>0.5</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25">
      <c r="A14" s="1">
        <v>12</v>
      </c>
      <c r="B14" s="11" t="b">
        <v>1</v>
      </c>
      <c r="C14" s="11" t="b">
        <v>1</v>
      </c>
      <c r="D14" s="1" t="s">
        <v>564</v>
      </c>
      <c r="E14" s="5">
        <f t="shared" si="7"/>
        <v>0.02</v>
      </c>
      <c r="F14" s="24">
        <v>0.5</v>
      </c>
      <c r="G14" s="24" t="s">
        <v>105</v>
      </c>
      <c r="H14" s="21" t="s">
        <v>219</v>
      </c>
      <c r="I14" s="20" t="s">
        <v>105</v>
      </c>
      <c r="J14" s="24">
        <f t="shared" si="8"/>
        <v>0</v>
      </c>
      <c r="K14" s="24" t="s">
        <v>105</v>
      </c>
      <c r="L14" s="21">
        <f t="shared" si="9"/>
        <v>10</v>
      </c>
      <c r="M14" s="21">
        <f t="shared" si="10"/>
        <v>0.5</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25">
      <c r="A15" s="1">
        <v>13</v>
      </c>
      <c r="B15" s="11" t="b">
        <v>1</v>
      </c>
      <c r="C15" s="11" t="b">
        <v>1</v>
      </c>
      <c r="D15" s="1" t="s">
        <v>565</v>
      </c>
      <c r="E15" s="5">
        <f t="shared" si="7"/>
        <v>0.02</v>
      </c>
      <c r="F15" s="24">
        <v>0.7</v>
      </c>
      <c r="G15" s="24" t="s">
        <v>105</v>
      </c>
      <c r="H15" s="21" t="s">
        <v>219</v>
      </c>
      <c r="I15" s="20" t="s">
        <v>105</v>
      </c>
      <c r="J15" s="24">
        <f t="shared" si="8"/>
        <v>0</v>
      </c>
      <c r="K15" s="24" t="s">
        <v>105</v>
      </c>
      <c r="L15" s="21">
        <f t="shared" si="9"/>
        <v>10</v>
      </c>
      <c r="M15" s="21">
        <f t="shared" si="10"/>
        <v>0.5</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25">
      <c r="A16" s="1">
        <v>14</v>
      </c>
      <c r="B16" s="11" t="b">
        <v>1</v>
      </c>
      <c r="C16" s="11" t="b">
        <v>1</v>
      </c>
      <c r="D16" s="1" t="s">
        <v>566</v>
      </c>
      <c r="E16" s="5">
        <f t="shared" si="7"/>
        <v>0.02</v>
      </c>
      <c r="F16" s="24">
        <v>1</v>
      </c>
      <c r="G16" s="24" t="s">
        <v>105</v>
      </c>
      <c r="H16" s="21" t="s">
        <v>219</v>
      </c>
      <c r="I16" s="20" t="s">
        <v>105</v>
      </c>
      <c r="J16" s="24">
        <f t="shared" si="8"/>
        <v>0</v>
      </c>
      <c r="K16" s="24" t="s">
        <v>105</v>
      </c>
      <c r="L16" s="21">
        <f t="shared" si="9"/>
        <v>10</v>
      </c>
      <c r="M16" s="21">
        <f t="shared" si="10"/>
        <v>0.5</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25">
      <c r="A17" s="1">
        <v>15</v>
      </c>
      <c r="B17" s="11" t="b">
        <v>1</v>
      </c>
      <c r="C17" s="11" t="b">
        <v>1</v>
      </c>
      <c r="D17" s="1" t="s">
        <v>567</v>
      </c>
      <c r="E17" s="5">
        <f t="shared" si="7"/>
        <v>0.02</v>
      </c>
      <c r="F17" s="24">
        <v>0.7</v>
      </c>
      <c r="G17" s="24" t="s">
        <v>105</v>
      </c>
      <c r="H17" s="21" t="s">
        <v>219</v>
      </c>
      <c r="I17" s="20" t="s">
        <v>105</v>
      </c>
      <c r="J17" s="24">
        <f t="shared" si="8"/>
        <v>0</v>
      </c>
      <c r="K17" s="24" t="s">
        <v>105</v>
      </c>
      <c r="L17" s="21">
        <f t="shared" si="9"/>
        <v>10</v>
      </c>
      <c r="M17" s="21">
        <f t="shared" si="10"/>
        <v>0.5</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25">
      <c r="A18" s="1">
        <v>16</v>
      </c>
      <c r="B18" s="11" t="b">
        <v>1</v>
      </c>
      <c r="C18" s="99" t="b">
        <v>1</v>
      </c>
      <c r="D18" s="1" t="s">
        <v>568</v>
      </c>
      <c r="E18" s="5">
        <f t="shared" si="7"/>
        <v>0.02</v>
      </c>
      <c r="F18" s="24">
        <v>0.5</v>
      </c>
      <c r="G18" s="24" t="s">
        <v>105</v>
      </c>
      <c r="H18" s="21" t="s">
        <v>219</v>
      </c>
      <c r="I18" s="20" t="s">
        <v>105</v>
      </c>
      <c r="J18" s="24">
        <f t="shared" si="8"/>
        <v>0</v>
      </c>
      <c r="K18" s="24" t="s">
        <v>105</v>
      </c>
      <c r="L18" s="21">
        <f t="shared" si="9"/>
        <v>10</v>
      </c>
      <c r="M18" s="21">
        <f t="shared" si="10"/>
        <v>0.5</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25">
      <c r="A19" s="1">
        <v>17</v>
      </c>
      <c r="B19" s="11" t="b">
        <v>1</v>
      </c>
      <c r="C19" s="11" t="b">
        <v>1</v>
      </c>
      <c r="D19" s="1" t="s">
        <v>569</v>
      </c>
      <c r="E19" s="5">
        <f t="shared" si="7"/>
        <v>0.02</v>
      </c>
      <c r="F19" s="24">
        <v>0.7</v>
      </c>
      <c r="G19" s="24" t="s">
        <v>105</v>
      </c>
      <c r="H19" s="20" t="s">
        <v>220</v>
      </c>
      <c r="I19" s="20" t="s">
        <v>105</v>
      </c>
      <c r="J19" s="24">
        <f t="shared" si="8"/>
        <v>0</v>
      </c>
      <c r="K19" s="24" t="s">
        <v>105</v>
      </c>
      <c r="L19" s="21">
        <f t="shared" si="9"/>
        <v>10</v>
      </c>
      <c r="M19" s="21">
        <f t="shared" si="10"/>
        <v>0.5</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25">
      <c r="A20" s="1">
        <v>18</v>
      </c>
      <c r="B20" s="80" t="b">
        <f>inp_Un&gt;=110</f>
        <v>1</v>
      </c>
      <c r="C20" s="80" t="b">
        <f>inp_Un&gt;=110</f>
        <v>1</v>
      </c>
      <c r="D20" s="79" t="s">
        <v>570</v>
      </c>
      <c r="E20" s="81">
        <f t="shared" si="7"/>
        <v>0.02</v>
      </c>
      <c r="F20" s="81">
        <v>0.7</v>
      </c>
      <c r="G20" s="81" t="s">
        <v>105</v>
      </c>
      <c r="H20" s="82" t="s">
        <v>220</v>
      </c>
      <c r="I20" s="82" t="s">
        <v>105</v>
      </c>
      <c r="J20" s="81">
        <f t="shared" si="8"/>
        <v>0</v>
      </c>
      <c r="K20" s="81" t="s">
        <v>105</v>
      </c>
      <c r="L20" s="83">
        <f t="shared" si="9"/>
        <v>10</v>
      </c>
      <c r="M20" s="83">
        <f t="shared" si="10"/>
        <v>0.5</v>
      </c>
      <c r="N20" s="21" t="s">
        <v>105</v>
      </c>
      <c r="O20" s="84">
        <v>60</v>
      </c>
      <c r="P20" s="89" t="s">
        <v>107</v>
      </c>
      <c r="Q20" s="89">
        <v>0</v>
      </c>
      <c r="R20" s="89">
        <f>50 + 50 * sel_fsm_prov/100 * inp_fsm_droop/100 * 1/2 + sel_fsm_db</f>
        <v>50.15</v>
      </c>
      <c r="S20" s="89"/>
      <c r="T20" s="81" t="s">
        <v>107</v>
      </c>
      <c r="U20" s="81">
        <v>15</v>
      </c>
      <c r="V20" s="81">
        <v>50</v>
      </c>
      <c r="W20" s="81"/>
      <c r="X20" s="89" t="s">
        <v>107</v>
      </c>
      <c r="Y20" s="89">
        <v>30</v>
      </c>
      <c r="Z20" s="89">
        <f>50 - 50 * sel_fsm_prov/100 * inp_fsm_droop/100 * 1/2 - sel_fsm_db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25">
      <c r="A21" s="1">
        <v>19</v>
      </c>
      <c r="B21" s="11" t="b">
        <v>1</v>
      </c>
      <c r="C21" s="11" t="b">
        <v>1</v>
      </c>
      <c r="D21" s="1" t="s">
        <v>571</v>
      </c>
      <c r="E21" s="5">
        <f t="shared" si="7"/>
        <v>0.02</v>
      </c>
      <c r="F21" s="24">
        <v>0.7</v>
      </c>
      <c r="G21" s="24" t="s">
        <v>105</v>
      </c>
      <c r="H21" s="21" t="s">
        <v>219</v>
      </c>
      <c r="I21" s="20" t="s">
        <v>105</v>
      </c>
      <c r="J21" s="24">
        <f t="shared" si="8"/>
        <v>0</v>
      </c>
      <c r="K21" s="24" t="s">
        <v>105</v>
      </c>
      <c r="L21" s="21">
        <f t="shared" si="9"/>
        <v>10</v>
      </c>
      <c r="M21" s="21">
        <f t="shared" si="10"/>
        <v>0.5</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25">
      <c r="A22" s="1">
        <v>20</v>
      </c>
      <c r="B22" s="11" t="b">
        <v>1</v>
      </c>
      <c r="C22" s="11" t="b">
        <v>1</v>
      </c>
      <c r="D22" s="1" t="s">
        <v>572</v>
      </c>
      <c r="E22" s="5">
        <f t="shared" si="7"/>
        <v>0.02</v>
      </c>
      <c r="F22" s="24">
        <v>0.7</v>
      </c>
      <c r="G22" s="24" t="s">
        <v>105</v>
      </c>
      <c r="H22" s="21" t="s">
        <v>219</v>
      </c>
      <c r="I22" s="20" t="s">
        <v>105</v>
      </c>
      <c r="J22" s="24">
        <f t="shared" si="8"/>
        <v>0</v>
      </c>
      <c r="K22" s="24" t="s">
        <v>105</v>
      </c>
      <c r="L22" s="21">
        <f t="shared" si="9"/>
        <v>10</v>
      </c>
      <c r="M22" s="21">
        <f t="shared" si="10"/>
        <v>0.5</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25">
      <c r="A23" s="1">
        <v>21</v>
      </c>
      <c r="B23" s="11" t="b">
        <v>1</v>
      </c>
      <c r="C23" s="11" t="b">
        <v>1</v>
      </c>
      <c r="D23" s="1" t="s">
        <v>573</v>
      </c>
      <c r="E23" s="5">
        <f t="shared" si="7"/>
        <v>0.02</v>
      </c>
      <c r="F23" s="24">
        <v>0.7</v>
      </c>
      <c r="G23" s="24" t="s">
        <v>105</v>
      </c>
      <c r="H23" s="21" t="s">
        <v>219</v>
      </c>
      <c r="I23" s="20" t="s">
        <v>105</v>
      </c>
      <c r="J23" s="24">
        <f t="shared" si="8"/>
        <v>0</v>
      </c>
      <c r="K23" s="24" t="s">
        <v>105</v>
      </c>
      <c r="L23" s="21">
        <f t="shared" si="9"/>
        <v>10</v>
      </c>
      <c r="M23" s="21">
        <f t="shared" si="10"/>
        <v>0.5</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25">
      <c r="A24" s="1">
        <v>22</v>
      </c>
      <c r="B24" s="11" t="b">
        <v>1</v>
      </c>
      <c r="C24" s="11" t="b">
        <v>1</v>
      </c>
      <c r="D24" s="1" t="s">
        <v>574</v>
      </c>
      <c r="E24" s="5">
        <f t="shared" si="7"/>
        <v>0.02</v>
      </c>
      <c r="F24" s="24">
        <v>0.7</v>
      </c>
      <c r="G24" s="24" t="s">
        <v>105</v>
      </c>
      <c r="H24" s="20" t="s">
        <v>220</v>
      </c>
      <c r="I24" s="20" t="s">
        <v>105</v>
      </c>
      <c r="J24" s="24">
        <f t="shared" si="8"/>
        <v>0</v>
      </c>
      <c r="K24" s="24" t="s">
        <v>105</v>
      </c>
      <c r="L24" s="21">
        <f t="shared" si="9"/>
        <v>10</v>
      </c>
      <c r="M24" s="21">
        <f t="shared" si="10"/>
        <v>0.5</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25">
      <c r="A25" s="1">
        <v>23</v>
      </c>
      <c r="B25" s="11" t="b">
        <v>1</v>
      </c>
      <c r="C25" s="11" t="b">
        <v>1</v>
      </c>
      <c r="D25" s="1" t="s">
        <v>575</v>
      </c>
      <c r="E25" s="5">
        <f t="shared" si="7"/>
        <v>0.02</v>
      </c>
      <c r="F25" s="24">
        <v>0.7</v>
      </c>
      <c r="G25" s="24" t="s">
        <v>105</v>
      </c>
      <c r="H25" s="20" t="s">
        <v>220</v>
      </c>
      <c r="I25" s="20" t="s">
        <v>105</v>
      </c>
      <c r="J25" s="24">
        <f t="shared" si="8"/>
        <v>0</v>
      </c>
      <c r="K25" s="24" t="s">
        <v>105</v>
      </c>
      <c r="L25" s="21">
        <f t="shared" si="9"/>
        <v>10</v>
      </c>
      <c r="M25" s="21">
        <f t="shared" si="10"/>
        <v>0.5</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25">
      <c r="A26" s="1">
        <v>24</v>
      </c>
      <c r="B26" s="11" t="b">
        <v>1</v>
      </c>
      <c r="C26" s="11" t="b">
        <v>1</v>
      </c>
      <c r="D26" s="1" t="s">
        <v>576</v>
      </c>
      <c r="E26" s="5">
        <f t="shared" si="7"/>
        <v>0.02</v>
      </c>
      <c r="F26" s="24">
        <v>0.7</v>
      </c>
      <c r="G26" s="24" t="s">
        <v>105</v>
      </c>
      <c r="H26" s="20" t="s">
        <v>220</v>
      </c>
      <c r="I26" s="20" t="s">
        <v>105</v>
      </c>
      <c r="J26" s="24">
        <f t="shared" si="8"/>
        <v>0</v>
      </c>
      <c r="K26" s="24" t="s">
        <v>105</v>
      </c>
      <c r="L26" s="21">
        <f t="shared" si="9"/>
        <v>10</v>
      </c>
      <c r="M26" s="21">
        <f t="shared" si="10"/>
        <v>0.5</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25">
      <c r="A27" s="1">
        <v>25</v>
      </c>
      <c r="B27" s="11" t="b">
        <v>1</v>
      </c>
      <c r="C27" s="11" t="b">
        <v>1</v>
      </c>
      <c r="D27" s="1" t="s">
        <v>577</v>
      </c>
      <c r="E27" s="5">
        <f t="shared" si="7"/>
        <v>0.02</v>
      </c>
      <c r="F27" s="24">
        <v>0.7</v>
      </c>
      <c r="G27" s="24" t="s">
        <v>105</v>
      </c>
      <c r="H27" s="20" t="s">
        <v>220</v>
      </c>
      <c r="I27" s="20" t="s">
        <v>105</v>
      </c>
      <c r="J27" s="24">
        <f t="shared" si="8"/>
        <v>0</v>
      </c>
      <c r="K27" s="24" t="s">
        <v>105</v>
      </c>
      <c r="L27" s="21">
        <f t="shared" si="9"/>
        <v>10</v>
      </c>
      <c r="M27" s="21">
        <f t="shared" si="10"/>
        <v>0.5</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25">
      <c r="A28" s="1">
        <v>26</v>
      </c>
      <c r="B28" s="80" t="b">
        <f t="shared" ref="B28:C29" si="11">inp_Un&gt;=110</f>
        <v>1</v>
      </c>
      <c r="C28" s="80" t="b">
        <f t="shared" si="11"/>
        <v>1</v>
      </c>
      <c r="D28" s="79" t="s">
        <v>637</v>
      </c>
      <c r="E28" s="81">
        <f t="shared" si="7"/>
        <v>0.02</v>
      </c>
      <c r="F28" s="81">
        <v>1</v>
      </c>
      <c r="G28" s="81">
        <v>0.5</v>
      </c>
      <c r="H28" s="83" t="s">
        <v>219</v>
      </c>
      <c r="I28" s="82" t="s">
        <v>105</v>
      </c>
      <c r="J28" s="81">
        <f t="shared" si="8"/>
        <v>0</v>
      </c>
      <c r="K28" s="81" t="s">
        <v>105</v>
      </c>
      <c r="L28" s="83">
        <f t="shared" si="9"/>
        <v>10</v>
      </c>
      <c r="M28" s="83">
        <f t="shared" si="10"/>
        <v>0.5</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25">
      <c r="A29" s="1">
        <v>27</v>
      </c>
      <c r="B29" s="80" t="b">
        <f t="shared" si="11"/>
        <v>1</v>
      </c>
      <c r="C29" s="80" t="b">
        <f t="shared" si="11"/>
        <v>1</v>
      </c>
      <c r="D29" s="79" t="s">
        <v>638</v>
      </c>
      <c r="E29" s="81">
        <f t="shared" si="7"/>
        <v>0.02</v>
      </c>
      <c r="F29" s="81">
        <v>0.5</v>
      </c>
      <c r="G29" s="81">
        <v>0.7</v>
      </c>
      <c r="H29" s="83" t="s">
        <v>219</v>
      </c>
      <c r="I29" s="82" t="s">
        <v>105</v>
      </c>
      <c r="J29" s="81">
        <f t="shared" si="8"/>
        <v>0</v>
      </c>
      <c r="K29" s="81" t="s">
        <v>105</v>
      </c>
      <c r="L29" s="83">
        <f t="shared" si="9"/>
        <v>10</v>
      </c>
      <c r="M29" s="83">
        <f t="shared" si="10"/>
        <v>0.5</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25">
      <c r="A30" s="1">
        <v>28</v>
      </c>
      <c r="B30" s="11" t="b">
        <v>1</v>
      </c>
      <c r="C30" s="11" t="b">
        <v>1</v>
      </c>
      <c r="D30" s="1" t="s">
        <v>578</v>
      </c>
      <c r="E30" s="5">
        <f t="shared" si="7"/>
        <v>0.02</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0.02</v>
      </c>
      <c r="W30" s="5"/>
      <c r="X30" s="88" t="s">
        <v>108</v>
      </c>
      <c r="Y30" s="88">
        <v>40</v>
      </c>
      <c r="Z30" s="88">
        <f>sel_uq_q0_umin</f>
        <v>0.96799999999999997</v>
      </c>
      <c r="AA30" s="88"/>
      <c r="AB30" s="5" t="s">
        <v>108</v>
      </c>
      <c r="AC30" s="5">
        <v>80</v>
      </c>
      <c r="AD30" s="5">
        <f>inp_Uc/inp_Un</f>
        <v>0.02</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25">
      <c r="A31" s="1">
        <v>29</v>
      </c>
      <c r="B31" s="80" t="b">
        <f>inp_Un&gt;=110</f>
        <v>1</v>
      </c>
      <c r="C31" s="80" t="b">
        <f>inp_Un&gt;=110</f>
        <v>1</v>
      </c>
      <c r="D31" s="79" t="s">
        <v>579</v>
      </c>
      <c r="E31" s="81">
        <f t="shared" si="7"/>
        <v>0.02</v>
      </c>
      <c r="F31" s="81">
        <v>1</v>
      </c>
      <c r="G31" s="81" t="s">
        <v>105</v>
      </c>
      <c r="H31" s="83" t="s">
        <v>219</v>
      </c>
      <c r="I31" s="82" t="s">
        <v>21</v>
      </c>
      <c r="J31" s="81">
        <v>0</v>
      </c>
      <c r="K31" s="81" t="s">
        <v>105</v>
      </c>
      <c r="L31" s="83">
        <f t="shared" si="9"/>
        <v>10</v>
      </c>
      <c r="M31" s="83">
        <f t="shared" si="10"/>
        <v>0.5</v>
      </c>
      <c r="N31" s="83" t="s">
        <v>105</v>
      </c>
      <c r="O31" s="84">
        <v>100</v>
      </c>
      <c r="P31" s="89" t="s">
        <v>109</v>
      </c>
      <c r="Q31" s="89">
        <v>0</v>
      </c>
      <c r="R31" s="89">
        <f>sel_uq_q0_umax-inp_Uc/inp_Un</f>
        <v>1.0980000000000001</v>
      </c>
      <c r="S31" s="89"/>
      <c r="T31" s="81" t="s">
        <v>109</v>
      </c>
      <c r="U31" s="81">
        <v>20</v>
      </c>
      <c r="V31" s="81">
        <v>0</v>
      </c>
      <c r="W31" s="81"/>
      <c r="X31" s="89" t="s">
        <v>109</v>
      </c>
      <c r="Y31" s="89">
        <v>40</v>
      </c>
      <c r="Z31" s="89">
        <f>sel_uq_q0_umin-inp_Uc/inp_Un</f>
        <v>0.94799999999999995</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25">
      <c r="A32" s="1">
        <v>30</v>
      </c>
      <c r="B32" s="11" t="b">
        <v>1</v>
      </c>
      <c r="C32" s="11" t="b">
        <v>1</v>
      </c>
      <c r="D32" s="1" t="s">
        <v>580</v>
      </c>
      <c r="E32" s="5">
        <f t="shared" si="7"/>
        <v>0.02</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0.02</v>
      </c>
      <c r="W32" s="5"/>
      <c r="X32" s="88" t="s">
        <v>108</v>
      </c>
      <c r="Y32" s="88">
        <v>40</v>
      </c>
      <c r="Z32" s="88">
        <f>sel_uq_q0.33ue_umin</f>
        <v>1.028</v>
      </c>
      <c r="AA32" s="88"/>
      <c r="AB32" s="5" t="s">
        <v>108</v>
      </c>
      <c r="AC32" s="5">
        <v>80</v>
      </c>
      <c r="AD32" s="5">
        <f>inp_Uc/inp_Un</f>
        <v>0.02</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25">
      <c r="A33" s="1">
        <v>31</v>
      </c>
      <c r="B33" s="11" t="b">
        <v>1</v>
      </c>
      <c r="C33" s="11" t="b">
        <v>1</v>
      </c>
      <c r="D33" s="1" t="s">
        <v>581</v>
      </c>
      <c r="E33" s="5">
        <f t="shared" si="7"/>
        <v>0.02</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0.02</v>
      </c>
      <c r="W33" s="5"/>
      <c r="X33" s="88" t="s">
        <v>108</v>
      </c>
      <c r="Y33" s="88">
        <v>40</v>
      </c>
      <c r="Z33" s="88">
        <f>sel_uq_q0.33_umin</f>
        <v>0.96799999999999997</v>
      </c>
      <c r="AA33" s="88"/>
      <c r="AB33" s="5" t="s">
        <v>108</v>
      </c>
      <c r="AC33" s="5">
        <v>80</v>
      </c>
      <c r="AD33" s="5">
        <f>inp_Uc/inp_Un</f>
        <v>0.02</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25">
      <c r="A34" s="1">
        <v>32</v>
      </c>
      <c r="B34" s="11" t="b">
        <v>1</v>
      </c>
      <c r="C34" s="11" t="b">
        <v>1</v>
      </c>
      <c r="D34" s="1" t="s">
        <v>582</v>
      </c>
      <c r="E34" s="5">
        <f t="shared" si="7"/>
        <v>0.02</v>
      </c>
      <c r="F34" s="24">
        <v>1</v>
      </c>
      <c r="G34" s="24" t="s">
        <v>105</v>
      </c>
      <c r="H34" s="21" t="s">
        <v>219</v>
      </c>
      <c r="I34" s="20" t="s">
        <v>21</v>
      </c>
      <c r="J34" s="24">
        <v>0</v>
      </c>
      <c r="K34" s="24" t="s">
        <v>105</v>
      </c>
      <c r="L34" s="21">
        <f t="shared" ref="L34:L39" si="12">inp_scr_min</f>
        <v>10</v>
      </c>
      <c r="M34" s="21">
        <f t="shared" ref="M34:M39" si="13">inp_xr_min</f>
        <v>0.5</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25">
      <c r="A35" s="1">
        <v>33</v>
      </c>
      <c r="B35" s="80" t="b">
        <f>inp_Un&gt;=110</f>
        <v>1</v>
      </c>
      <c r="C35" s="80" t="b">
        <f>inp_Un&gt;=110</f>
        <v>1</v>
      </c>
      <c r="D35" s="79" t="s">
        <v>583</v>
      </c>
      <c r="E35" s="81">
        <f t="shared" si="7"/>
        <v>0.02</v>
      </c>
      <c r="F35" s="81">
        <v>0.5</v>
      </c>
      <c r="G35" s="81" t="s">
        <v>105</v>
      </c>
      <c r="H35" s="83" t="s">
        <v>219</v>
      </c>
      <c r="I35" s="82" t="s">
        <v>21</v>
      </c>
      <c r="J35" s="81">
        <v>0</v>
      </c>
      <c r="K35" s="81" t="s">
        <v>105</v>
      </c>
      <c r="L35" s="83">
        <f t="shared" si="12"/>
        <v>10</v>
      </c>
      <c r="M35" s="83">
        <f t="shared" si="13"/>
        <v>0.5</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25">
      <c r="A36" s="1">
        <v>34</v>
      </c>
      <c r="B36" s="11" t="b">
        <v>1</v>
      </c>
      <c r="C36" s="11" t="b">
        <v>1</v>
      </c>
      <c r="D36" s="1" t="s">
        <v>584</v>
      </c>
      <c r="E36" s="5">
        <f t="shared" si="7"/>
        <v>0.02</v>
      </c>
      <c r="F36" s="24">
        <v>1</v>
      </c>
      <c r="G36" s="24" t="s">
        <v>105</v>
      </c>
      <c r="H36" s="21" t="s">
        <v>219</v>
      </c>
      <c r="I36" s="20" t="s">
        <v>21</v>
      </c>
      <c r="J36" s="24">
        <v>-0.33</v>
      </c>
      <c r="K36" s="24" t="s">
        <v>105</v>
      </c>
      <c r="L36" s="21">
        <f t="shared" si="12"/>
        <v>10</v>
      </c>
      <c r="M36" s="21">
        <f t="shared" si="13"/>
        <v>0.5</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25">
      <c r="A37" s="1">
        <v>35</v>
      </c>
      <c r="B37" s="80" t="b">
        <f>inp_Un&gt;=110</f>
        <v>1</v>
      </c>
      <c r="C37" s="80" t="b">
        <f>inp_Un&gt;=110</f>
        <v>1</v>
      </c>
      <c r="D37" s="79" t="s">
        <v>585</v>
      </c>
      <c r="E37" s="81">
        <f t="shared" si="7"/>
        <v>0.02</v>
      </c>
      <c r="F37" s="81">
        <v>0.5</v>
      </c>
      <c r="G37" s="81" t="s">
        <v>105</v>
      </c>
      <c r="H37" s="83" t="s">
        <v>219</v>
      </c>
      <c r="I37" s="82" t="s">
        <v>21</v>
      </c>
      <c r="J37" s="81">
        <v>-0.33</v>
      </c>
      <c r="K37" s="81" t="s">
        <v>105</v>
      </c>
      <c r="L37" s="83">
        <f t="shared" si="12"/>
        <v>10</v>
      </c>
      <c r="M37" s="83">
        <f t="shared" si="13"/>
        <v>0.5</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25">
      <c r="A38" s="1">
        <v>36</v>
      </c>
      <c r="B38" s="11" t="b">
        <v>1</v>
      </c>
      <c r="C38" s="11" t="b">
        <v>1</v>
      </c>
      <c r="D38" s="1" t="s">
        <v>586</v>
      </c>
      <c r="E38" s="5">
        <f t="shared" si="7"/>
        <v>0.02</v>
      </c>
      <c r="F38" s="24">
        <v>1</v>
      </c>
      <c r="G38" s="24" t="s">
        <v>105</v>
      </c>
      <c r="H38" s="21" t="s">
        <v>219</v>
      </c>
      <c r="I38" s="20" t="s">
        <v>21</v>
      </c>
      <c r="J38" s="24">
        <v>0.33</v>
      </c>
      <c r="K38" s="24" t="s">
        <v>105</v>
      </c>
      <c r="L38" s="21">
        <f t="shared" si="12"/>
        <v>10</v>
      </c>
      <c r="M38" s="21">
        <f t="shared" si="13"/>
        <v>0.5</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25">
      <c r="A39" s="1">
        <v>37</v>
      </c>
      <c r="B39" s="80" t="b">
        <f>inp_Un&gt;=110</f>
        <v>1</v>
      </c>
      <c r="C39" s="80" t="b">
        <f>inp_Un&gt;=110</f>
        <v>1</v>
      </c>
      <c r="D39" s="79" t="s">
        <v>587</v>
      </c>
      <c r="E39" s="81">
        <f t="shared" si="7"/>
        <v>0.02</v>
      </c>
      <c r="F39" s="81">
        <v>0.5</v>
      </c>
      <c r="G39" s="81" t="s">
        <v>105</v>
      </c>
      <c r="H39" s="83" t="s">
        <v>219</v>
      </c>
      <c r="I39" s="82" t="s">
        <v>21</v>
      </c>
      <c r="J39" s="81">
        <v>0.33</v>
      </c>
      <c r="K39" s="81" t="s">
        <v>105</v>
      </c>
      <c r="L39" s="83">
        <f t="shared" si="12"/>
        <v>10</v>
      </c>
      <c r="M39" s="83">
        <f t="shared" si="13"/>
        <v>0.5</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25">
      <c r="A40" s="1">
        <v>38</v>
      </c>
      <c r="B40" s="11" t="b">
        <v>1</v>
      </c>
      <c r="C40" s="99" t="b">
        <v>1</v>
      </c>
      <c r="D40" s="1" t="s">
        <v>588</v>
      </c>
      <c r="E40" s="5">
        <f t="shared" si="7"/>
        <v>0.02</v>
      </c>
      <c r="F40" s="24">
        <v>1</v>
      </c>
      <c r="G40" s="24" t="s">
        <v>105</v>
      </c>
      <c r="H40" s="21" t="s">
        <v>219</v>
      </c>
      <c r="I40" s="20" t="s">
        <v>110</v>
      </c>
      <c r="J40" s="5">
        <f t="shared" ref="J40:J42" si="14">inp_Uc/inp_Un</f>
        <v>0.02</v>
      </c>
      <c r="K40" s="5" t="s">
        <v>105</v>
      </c>
      <c r="L40" s="21">
        <f>inp_scr_min</f>
        <v>10</v>
      </c>
      <c r="M40" s="21">
        <f>inp_xr_min</f>
        <v>0.5</v>
      </c>
      <c r="N40" s="21" t="s">
        <v>105</v>
      </c>
      <c r="O40" s="6">
        <v>85</v>
      </c>
      <c r="P40" s="88" t="s">
        <v>109</v>
      </c>
      <c r="Q40" s="88">
        <v>0</v>
      </c>
      <c r="R40" s="88">
        <f>$J40*inp_Vdroop/100*0.5</f>
        <v>0.01</v>
      </c>
      <c r="S40" s="88"/>
      <c r="T40" s="5" t="s">
        <v>109</v>
      </c>
      <c r="U40" s="5">
        <v>7</v>
      </c>
      <c r="V40" s="5">
        <v>0</v>
      </c>
      <c r="W40" s="5"/>
      <c r="X40" s="88" t="s">
        <v>109</v>
      </c>
      <c r="Y40" s="88">
        <v>14</v>
      </c>
      <c r="Z40" s="88">
        <f>-$J40*inp_Vdroop/100*0.5</f>
        <v>-0.01</v>
      </c>
      <c r="AA40" s="88"/>
      <c r="AB40" s="5" t="s">
        <v>109</v>
      </c>
      <c r="AC40" s="5">
        <v>21</v>
      </c>
      <c r="AD40" s="5">
        <v>0</v>
      </c>
      <c r="AE40" s="5"/>
      <c r="AF40" s="88" t="s">
        <v>109</v>
      </c>
      <c r="AG40" s="88">
        <v>28</v>
      </c>
      <c r="AH40" s="88">
        <f>$J40*inp_Vdroop/100</f>
        <v>0.02</v>
      </c>
      <c r="AI40" s="88"/>
      <c r="AJ40" s="5" t="s">
        <v>109</v>
      </c>
      <c r="AK40" s="7">
        <v>35</v>
      </c>
      <c r="AL40" s="5">
        <v>0</v>
      </c>
      <c r="AM40" s="5"/>
      <c r="AN40" s="96" t="s">
        <v>109</v>
      </c>
      <c r="AO40" s="88">
        <v>42</v>
      </c>
      <c r="AP40" s="88">
        <f>-$J40*inp_Vdroop/100</f>
        <v>-0.02</v>
      </c>
      <c r="AQ40" s="88"/>
      <c r="AR40" s="5" t="s">
        <v>109</v>
      </c>
      <c r="AS40" s="5">
        <v>49</v>
      </c>
      <c r="AT40" s="5">
        <v>0</v>
      </c>
      <c r="AU40" s="5"/>
      <c r="AV40" s="88" t="s">
        <v>109</v>
      </c>
      <c r="AW40" s="88">
        <v>56</v>
      </c>
      <c r="AX40" s="88">
        <f>sel_uq_q0.33ue_umax-$E40</f>
        <v>1.0980000000000001</v>
      </c>
      <c r="AY40" s="88"/>
      <c r="AZ40" s="5" t="s">
        <v>109</v>
      </c>
      <c r="BA40" s="7">
        <v>63</v>
      </c>
      <c r="BB40" s="5">
        <v>0</v>
      </c>
      <c r="BC40" s="5"/>
      <c r="BD40" s="96" t="s">
        <v>109</v>
      </c>
      <c r="BE40" s="88">
        <v>70</v>
      </c>
      <c r="BF40" s="88">
        <f>(sel_uq_q0.33_umin-$E40)</f>
        <v>0.94799999999999995</v>
      </c>
      <c r="BG40" s="88"/>
      <c r="BH40" s="5" t="s">
        <v>109</v>
      </c>
      <c r="BI40" s="5">
        <v>77</v>
      </c>
      <c r="BJ40" s="5">
        <v>0</v>
      </c>
      <c r="BK40" s="67"/>
      <c r="BM40" s="88"/>
      <c r="BN40" s="88"/>
      <c r="BO40" s="88"/>
    </row>
    <row r="41" spans="1:95" s="79" customFormat="1" x14ac:dyDescent="0.25">
      <c r="A41" s="1">
        <v>39</v>
      </c>
      <c r="B41" s="80" t="b">
        <f>inp_Un&gt;=110</f>
        <v>1</v>
      </c>
      <c r="C41" s="80" t="b">
        <f>inp_Un&gt;=110</f>
        <v>1</v>
      </c>
      <c r="D41" s="79" t="s">
        <v>589</v>
      </c>
      <c r="E41" s="81">
        <f t="shared" si="7"/>
        <v>0.02</v>
      </c>
      <c r="F41" s="81">
        <v>1</v>
      </c>
      <c r="G41" s="81" t="s">
        <v>105</v>
      </c>
      <c r="H41" s="83" t="s">
        <v>219</v>
      </c>
      <c r="I41" s="82" t="s">
        <v>110</v>
      </c>
      <c r="J41" s="81">
        <f t="shared" si="14"/>
        <v>0.02</v>
      </c>
      <c r="K41" s="81" t="s">
        <v>105</v>
      </c>
      <c r="L41" s="83">
        <f>inp_scr_tun</f>
        <v>20</v>
      </c>
      <c r="M41" s="83">
        <f>inp_xr_tun</f>
        <v>-100</v>
      </c>
      <c r="N41" s="83" t="s">
        <v>105</v>
      </c>
      <c r="O41" s="101">
        <v>85</v>
      </c>
      <c r="P41" s="89" t="s">
        <v>109</v>
      </c>
      <c r="Q41" s="89">
        <v>0</v>
      </c>
      <c r="R41" s="89">
        <f>$J41*inp_Vdroop/100*0.5</f>
        <v>0.01</v>
      </c>
      <c r="S41" s="89"/>
      <c r="T41" s="81" t="s">
        <v>109</v>
      </c>
      <c r="U41" s="81">
        <v>7</v>
      </c>
      <c r="V41" s="81">
        <v>0</v>
      </c>
      <c r="W41" s="81"/>
      <c r="X41" s="89" t="s">
        <v>109</v>
      </c>
      <c r="Y41" s="89">
        <v>14</v>
      </c>
      <c r="Z41" s="89">
        <f>-$J41*inp_Vdroop/100*0.5</f>
        <v>-0.01</v>
      </c>
      <c r="AA41" s="89"/>
      <c r="AB41" s="81" t="s">
        <v>109</v>
      </c>
      <c r="AC41" s="81">
        <v>21</v>
      </c>
      <c r="AD41" s="81">
        <v>0</v>
      </c>
      <c r="AE41" s="81"/>
      <c r="AF41" s="89" t="s">
        <v>109</v>
      </c>
      <c r="AG41" s="89">
        <v>28</v>
      </c>
      <c r="AH41" s="89">
        <f>$J41*inp_Vdroop/100</f>
        <v>0.02</v>
      </c>
      <c r="AI41" s="89"/>
      <c r="AJ41" s="81" t="s">
        <v>109</v>
      </c>
      <c r="AK41" s="102">
        <v>35</v>
      </c>
      <c r="AL41" s="81">
        <v>0</v>
      </c>
      <c r="AM41" s="81"/>
      <c r="AN41" s="95" t="s">
        <v>109</v>
      </c>
      <c r="AO41" s="89">
        <v>42</v>
      </c>
      <c r="AP41" s="88">
        <f>-$J41*inp_Vdroop/100</f>
        <v>-0.02</v>
      </c>
      <c r="AQ41" s="89"/>
      <c r="AR41" s="81" t="s">
        <v>109</v>
      </c>
      <c r="AS41" s="81">
        <v>49</v>
      </c>
      <c r="AT41" s="81">
        <v>0</v>
      </c>
      <c r="AU41" s="81"/>
      <c r="AV41" s="89" t="s">
        <v>109</v>
      </c>
      <c r="AW41" s="89">
        <v>56</v>
      </c>
      <c r="AX41" s="89">
        <f>sel_uq_q0.33ue_umax-$E41</f>
        <v>1.0980000000000001</v>
      </c>
      <c r="AY41" s="89"/>
      <c r="AZ41" s="81" t="s">
        <v>109</v>
      </c>
      <c r="BA41" s="102">
        <v>63</v>
      </c>
      <c r="BB41" s="81">
        <v>0</v>
      </c>
      <c r="BC41" s="81"/>
      <c r="BD41" s="95" t="s">
        <v>109</v>
      </c>
      <c r="BE41" s="89">
        <v>70</v>
      </c>
      <c r="BF41" s="89">
        <f>(sel_uq_q0.33_umin-$E41)</f>
        <v>0.94799999999999995</v>
      </c>
      <c r="BG41" s="89"/>
      <c r="BH41" s="81" t="s">
        <v>109</v>
      </c>
      <c r="BI41" s="81">
        <v>77</v>
      </c>
      <c r="BJ41" s="81">
        <v>0</v>
      </c>
      <c r="BK41" s="197"/>
      <c r="BL41" s="95"/>
      <c r="BM41" s="89"/>
      <c r="BN41" s="89"/>
      <c r="BO41" s="89"/>
    </row>
    <row r="42" spans="1:95" x14ac:dyDescent="0.25">
      <c r="A42" s="1">
        <v>40</v>
      </c>
      <c r="B42" s="11" t="b">
        <v>1</v>
      </c>
      <c r="C42" s="99" t="b">
        <v>1</v>
      </c>
      <c r="D42" s="1" t="s">
        <v>590</v>
      </c>
      <c r="E42" s="5">
        <f t="shared" si="7"/>
        <v>0.02</v>
      </c>
      <c r="F42" s="24">
        <v>1</v>
      </c>
      <c r="G42" s="24" t="s">
        <v>105</v>
      </c>
      <c r="H42" s="21" t="s">
        <v>219</v>
      </c>
      <c r="I42" s="20" t="s">
        <v>110</v>
      </c>
      <c r="J42" s="5">
        <f t="shared" si="14"/>
        <v>0.02</v>
      </c>
      <c r="K42" s="5" t="s">
        <v>105</v>
      </c>
      <c r="L42" s="21">
        <f>inp_scr_max</f>
        <v>30</v>
      </c>
      <c r="M42" s="21" t="str">
        <f>inp_xr_max</f>
        <v>Demand</v>
      </c>
      <c r="N42" s="21" t="s">
        <v>105</v>
      </c>
      <c r="O42" s="6">
        <v>85</v>
      </c>
      <c r="P42" s="88" t="s">
        <v>109</v>
      </c>
      <c r="Q42" s="88">
        <v>0</v>
      </c>
      <c r="R42" s="88">
        <f>$J42*inp_Vdroop/100*0.5</f>
        <v>0.01</v>
      </c>
      <c r="S42" s="88"/>
      <c r="T42" s="5" t="s">
        <v>109</v>
      </c>
      <c r="U42" s="5">
        <v>7</v>
      </c>
      <c r="V42" s="5">
        <v>0</v>
      </c>
      <c r="W42" s="5"/>
      <c r="X42" s="88" t="s">
        <v>109</v>
      </c>
      <c r="Y42" s="88">
        <v>14</v>
      </c>
      <c r="Z42" s="88">
        <f>-$J42*inp_Vdroop/100*0.5</f>
        <v>-0.01</v>
      </c>
      <c r="AA42" s="88"/>
      <c r="AB42" s="5" t="s">
        <v>109</v>
      </c>
      <c r="AC42" s="5">
        <v>21</v>
      </c>
      <c r="AD42" s="5">
        <v>0</v>
      </c>
      <c r="AE42" s="5"/>
      <c r="AF42" s="88" t="s">
        <v>109</v>
      </c>
      <c r="AG42" s="88">
        <v>28</v>
      </c>
      <c r="AH42" s="88">
        <f>$J42*inp_Vdroop/100</f>
        <v>0.02</v>
      </c>
      <c r="AI42" s="88"/>
      <c r="AJ42" s="5" t="s">
        <v>109</v>
      </c>
      <c r="AK42" s="7">
        <v>35</v>
      </c>
      <c r="AL42" s="5">
        <v>0</v>
      </c>
      <c r="AM42" s="5"/>
      <c r="AN42" s="96" t="s">
        <v>109</v>
      </c>
      <c r="AO42" s="88">
        <v>42</v>
      </c>
      <c r="AP42" s="88">
        <f>-$J42*inp_Vdroop/100</f>
        <v>-0.02</v>
      </c>
      <c r="AQ42" s="88"/>
      <c r="AR42" s="5" t="s">
        <v>109</v>
      </c>
      <c r="AS42" s="5">
        <v>49</v>
      </c>
      <c r="AT42" s="5">
        <v>0</v>
      </c>
      <c r="AU42" s="5"/>
      <c r="AV42" s="88" t="s">
        <v>109</v>
      </c>
      <c r="AW42" s="88">
        <v>56</v>
      </c>
      <c r="AX42" s="88">
        <f>sel_uq_q0.33ue_umax-$E42</f>
        <v>1.0980000000000001</v>
      </c>
      <c r="AY42" s="88"/>
      <c r="AZ42" s="5" t="s">
        <v>109</v>
      </c>
      <c r="BA42" s="7">
        <v>63</v>
      </c>
      <c r="BB42" s="5">
        <v>0</v>
      </c>
      <c r="BC42" s="5"/>
      <c r="BD42" s="96" t="s">
        <v>109</v>
      </c>
      <c r="BE42" s="88">
        <v>70</v>
      </c>
      <c r="BF42" s="88">
        <f>(sel_uq_q0.33_umin-$E42)</f>
        <v>0.94799999999999995</v>
      </c>
      <c r="BG42" s="88"/>
      <c r="BH42" s="5" t="s">
        <v>109</v>
      </c>
      <c r="BI42" s="5">
        <v>77</v>
      </c>
      <c r="BJ42" s="5">
        <v>0</v>
      </c>
      <c r="BK42" s="67"/>
      <c r="BM42" s="88"/>
      <c r="BN42" s="88"/>
      <c r="BO42" s="88"/>
    </row>
    <row r="43" spans="1:95" x14ac:dyDescent="0.25">
      <c r="A43" s="1">
        <v>41</v>
      </c>
      <c r="B43" s="80" t="b">
        <f t="shared" ref="B43:C44" si="15">inp_Un&gt;=110</f>
        <v>1</v>
      </c>
      <c r="C43" s="80" t="b">
        <f t="shared" si="15"/>
        <v>1</v>
      </c>
      <c r="D43" s="79" t="s">
        <v>591</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197"/>
      <c r="BL43" s="89"/>
      <c r="BM43" s="89"/>
      <c r="BN43" s="89"/>
      <c r="BO43" s="89"/>
    </row>
    <row r="44" spans="1:95" x14ac:dyDescent="0.25">
      <c r="A44" s="1">
        <v>42</v>
      </c>
      <c r="B44" s="80" t="b">
        <f t="shared" si="15"/>
        <v>1</v>
      </c>
      <c r="C44" s="80" t="b">
        <f t="shared" si="15"/>
        <v>1</v>
      </c>
      <c r="D44" s="79" t="s">
        <v>592</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25">
      <c r="A45" s="1">
        <v>43</v>
      </c>
      <c r="B45" s="80" t="b">
        <f>inp_Un&gt;=110</f>
        <v>1</v>
      </c>
      <c r="C45" s="80" t="b">
        <f>inp_Un&gt;=110</f>
        <v>1</v>
      </c>
      <c r="D45" s="79" t="s">
        <v>593</v>
      </c>
      <c r="E45" s="81">
        <f>inp_Uc/inp_Un</f>
        <v>0.02</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25">
      <c r="A46" s="1">
        <v>44</v>
      </c>
      <c r="B46" s="80" t="b">
        <f>inp_Un&gt;=110</f>
        <v>1</v>
      </c>
      <c r="C46" s="80" t="b">
        <f>inp_Un&gt;=110</f>
        <v>1</v>
      </c>
      <c r="D46" s="79" t="s">
        <v>594</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25">
      <c r="A47" s="1">
        <v>45</v>
      </c>
      <c r="B47" s="80" t="b">
        <f t="shared" ref="B47:C54" si="16">inp_Un&gt;=110</f>
        <v>1</v>
      </c>
      <c r="C47" s="80" t="b">
        <f t="shared" si="16"/>
        <v>1</v>
      </c>
      <c r="D47" s="79" t="s">
        <v>595</v>
      </c>
      <c r="E47" s="81">
        <f>inp_Uc/inp_Un</f>
        <v>0.02</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25">
      <c r="A48" s="1">
        <v>46</v>
      </c>
      <c r="B48" s="80" t="b">
        <f t="shared" si="16"/>
        <v>1</v>
      </c>
      <c r="C48" s="80" t="b">
        <f t="shared" si="16"/>
        <v>1</v>
      </c>
      <c r="D48" s="79" t="s">
        <v>596</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25">
      <c r="A49" s="1">
        <v>47</v>
      </c>
      <c r="B49" s="80" t="b">
        <f t="shared" si="16"/>
        <v>1</v>
      </c>
      <c r="C49" s="80" t="b">
        <f t="shared" si="16"/>
        <v>1</v>
      </c>
      <c r="D49" s="79" t="s">
        <v>597</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25">
      <c r="A50" s="1">
        <v>48</v>
      </c>
      <c r="B50" s="80" t="b">
        <f t="shared" si="16"/>
        <v>1</v>
      </c>
      <c r="C50" s="80" t="b">
        <f t="shared" si="16"/>
        <v>1</v>
      </c>
      <c r="D50" s="79" t="s">
        <v>598</v>
      </c>
      <c r="E50" s="81">
        <f>inp_Uc/inp_Un</f>
        <v>0.02</v>
      </c>
      <c r="F50" s="81">
        <v>1</v>
      </c>
      <c r="G50" s="81" t="s">
        <v>105</v>
      </c>
      <c r="H50" s="83" t="s">
        <v>219</v>
      </c>
      <c r="I50" s="82" t="s">
        <v>110</v>
      </c>
      <c r="J50" s="81">
        <f t="shared" ref="J50:J54" si="17">inp_Uc/inp_Un</f>
        <v>0.02</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25">
      <c r="A51" s="1">
        <v>49</v>
      </c>
      <c r="B51" s="80" t="b">
        <f t="shared" si="16"/>
        <v>1</v>
      </c>
      <c r="C51" s="80" t="b">
        <f t="shared" si="16"/>
        <v>1</v>
      </c>
      <c r="D51" s="79" t="s">
        <v>599</v>
      </c>
      <c r="E51" s="81">
        <f>sel_uq_q0.33ue_umax</f>
        <v>1.1180000000000001</v>
      </c>
      <c r="F51" s="81">
        <v>1</v>
      </c>
      <c r="G51" s="81" t="s">
        <v>105</v>
      </c>
      <c r="H51" s="83" t="s">
        <v>219</v>
      </c>
      <c r="I51" s="82" t="s">
        <v>110</v>
      </c>
      <c r="J51" s="81">
        <f t="shared" si="17"/>
        <v>0.02</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25">
      <c r="A52" s="1">
        <v>50</v>
      </c>
      <c r="B52" s="80" t="b">
        <f t="shared" si="16"/>
        <v>1</v>
      </c>
      <c r="C52" s="80" t="b">
        <f t="shared" si="16"/>
        <v>1</v>
      </c>
      <c r="D52" s="79" t="s">
        <v>600</v>
      </c>
      <c r="E52" s="81">
        <f>inp_Uc/inp_Un</f>
        <v>0.02</v>
      </c>
      <c r="F52" s="81">
        <v>1</v>
      </c>
      <c r="G52" s="81" t="s">
        <v>105</v>
      </c>
      <c r="H52" s="83" t="s">
        <v>219</v>
      </c>
      <c r="I52" s="82" t="s">
        <v>110</v>
      </c>
      <c r="J52" s="81">
        <f t="shared" si="17"/>
        <v>0.02</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25">
      <c r="A53" s="1">
        <v>51</v>
      </c>
      <c r="B53" s="80" t="b">
        <f t="shared" si="16"/>
        <v>1</v>
      </c>
      <c r="C53" s="80" t="b">
        <f t="shared" si="16"/>
        <v>1</v>
      </c>
      <c r="D53" s="79" t="s">
        <v>601</v>
      </c>
      <c r="E53" s="81">
        <f>sel_uq_q0.33_umin</f>
        <v>0.96799999999999997</v>
      </c>
      <c r="F53" s="81">
        <v>1</v>
      </c>
      <c r="G53" s="81" t="s">
        <v>105</v>
      </c>
      <c r="H53" s="83" t="s">
        <v>219</v>
      </c>
      <c r="I53" s="82" t="s">
        <v>110</v>
      </c>
      <c r="J53" s="81">
        <f t="shared" si="17"/>
        <v>0.02</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25">
      <c r="A54" s="1">
        <v>52</v>
      </c>
      <c r="B54" s="80" t="b">
        <f t="shared" si="16"/>
        <v>1</v>
      </c>
      <c r="C54" s="80" t="b">
        <f t="shared" si="16"/>
        <v>1</v>
      </c>
      <c r="D54" s="79" t="s">
        <v>602</v>
      </c>
      <c r="E54" s="81">
        <f>sel_contop_umin</f>
        <v>0.9</v>
      </c>
      <c r="F54" s="81">
        <v>1</v>
      </c>
      <c r="G54" s="81" t="s">
        <v>105</v>
      </c>
      <c r="H54" s="83" t="s">
        <v>219</v>
      </c>
      <c r="I54" s="82" t="s">
        <v>110</v>
      </c>
      <c r="J54" s="81">
        <f t="shared" si="17"/>
        <v>0.02</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25">
      <c r="A55" s="1">
        <v>53</v>
      </c>
      <c r="B55" s="11" t="b">
        <v>1</v>
      </c>
      <c r="C55" s="11" t="b">
        <v>1</v>
      </c>
      <c r="D55" s="1" t="s">
        <v>603</v>
      </c>
      <c r="E55" s="5">
        <f t="shared" ref="E55:E95" si="18">inp_Uc/inp_Un</f>
        <v>0.02</v>
      </c>
      <c r="F55" s="24">
        <v>1</v>
      </c>
      <c r="G55" s="24" t="s">
        <v>105</v>
      </c>
      <c r="H55" s="21" t="s">
        <v>219</v>
      </c>
      <c r="I55" s="20" t="s">
        <v>21</v>
      </c>
      <c r="J55" s="24">
        <v>0</v>
      </c>
      <c r="K55" s="24" t="s">
        <v>105</v>
      </c>
      <c r="L55" s="21">
        <f>inp_scr_min</f>
        <v>10</v>
      </c>
      <c r="M55" s="21">
        <f>inp_xr_min</f>
        <v>0.5</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25">
      <c r="A56" s="1">
        <v>54</v>
      </c>
      <c r="B56" s="11" t="b">
        <v>1</v>
      </c>
      <c r="C56" s="11" t="b">
        <v>1</v>
      </c>
      <c r="D56" s="1" t="s">
        <v>604</v>
      </c>
      <c r="E56" s="5">
        <f t="shared" si="18"/>
        <v>0.02</v>
      </c>
      <c r="F56" s="24">
        <v>1</v>
      </c>
      <c r="G56" s="24" t="s">
        <v>105</v>
      </c>
      <c r="H56" s="21" t="s">
        <v>219</v>
      </c>
      <c r="I56" s="20" t="s">
        <v>21</v>
      </c>
      <c r="J56" s="24">
        <v>0</v>
      </c>
      <c r="K56" s="24" t="s">
        <v>105</v>
      </c>
      <c r="L56" s="21">
        <f>inp_scr_min</f>
        <v>10</v>
      </c>
      <c r="M56" s="21">
        <f>inp_xr_min</f>
        <v>0.5</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25">
      <c r="A57" s="1">
        <v>55</v>
      </c>
      <c r="B57" s="11" t="b">
        <v>1</v>
      </c>
      <c r="C57" s="11" t="b">
        <v>1</v>
      </c>
      <c r="D57" s="1" t="s">
        <v>738</v>
      </c>
      <c r="E57" s="5">
        <f t="shared" si="18"/>
        <v>0.02</v>
      </c>
      <c r="F57" s="24">
        <v>1</v>
      </c>
      <c r="G57" s="24" t="s">
        <v>105</v>
      </c>
      <c r="H57" s="21" t="s">
        <v>219</v>
      </c>
      <c r="I57" s="20" t="s">
        <v>112</v>
      </c>
      <c r="J57" s="24">
        <v>1</v>
      </c>
      <c r="K57" s="24" t="s">
        <v>105</v>
      </c>
      <c r="L57" s="21">
        <f>inp_scr_min</f>
        <v>10</v>
      </c>
      <c r="M57" s="21">
        <f>inp_xr_min</f>
        <v>0.5</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25">
      <c r="A58" s="1">
        <v>56</v>
      </c>
      <c r="B58" s="11" t="b">
        <v>1</v>
      </c>
      <c r="C58" s="11" t="b">
        <v>1</v>
      </c>
      <c r="D58" s="1" t="s">
        <v>727</v>
      </c>
      <c r="E58" s="5">
        <f t="shared" si="18"/>
        <v>0.02</v>
      </c>
      <c r="F58" s="24">
        <v>0.3</v>
      </c>
      <c r="G58" s="24" t="s">
        <v>105</v>
      </c>
      <c r="H58" s="21" t="s">
        <v>219</v>
      </c>
      <c r="I58" s="20" t="s">
        <v>112</v>
      </c>
      <c r="J58" s="24">
        <v>0.99</v>
      </c>
      <c r="K58" s="24" t="s">
        <v>105</v>
      </c>
      <c r="L58" s="21">
        <f>inp_scr_min</f>
        <v>10</v>
      </c>
      <c r="M58" s="21">
        <f>inp_xr_min</f>
        <v>0.5</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25">
      <c r="A59" s="1">
        <v>57</v>
      </c>
      <c r="B59" s="80" t="b">
        <f t="shared" ref="B59:C61" si="19">inp_Un&gt;=110</f>
        <v>1</v>
      </c>
      <c r="C59" s="80" t="b">
        <f t="shared" si="19"/>
        <v>1</v>
      </c>
      <c r="D59" s="79" t="s">
        <v>733</v>
      </c>
      <c r="E59" s="81">
        <f t="shared" si="18"/>
        <v>0.02</v>
      </c>
      <c r="F59" s="81">
        <v>1</v>
      </c>
      <c r="G59" s="81" t="s">
        <v>105</v>
      </c>
      <c r="H59" s="83" t="s">
        <v>219</v>
      </c>
      <c r="I59" s="82" t="s">
        <v>21</v>
      </c>
      <c r="J59" s="81">
        <f t="shared" ref="J59:J99" si="20">IF(inp_default="Q(U)",E59,IF(inp_default="PF",1,0))</f>
        <v>0</v>
      </c>
      <c r="K59" s="81" t="s">
        <v>105</v>
      </c>
      <c r="L59" s="83">
        <f t="shared" ref="L59:L67" si="21">inp_scr_min</f>
        <v>10</v>
      </c>
      <c r="M59" s="83">
        <f t="shared" ref="M59:M67" si="22">inp_xr_min</f>
        <v>0.5</v>
      </c>
      <c r="N59" s="83" t="s">
        <v>105</v>
      </c>
      <c r="O59" s="84">
        <v>45</v>
      </c>
      <c r="P59" s="89" t="s">
        <v>113</v>
      </c>
      <c r="Q59" s="89">
        <v>-1</v>
      </c>
      <c r="R59" s="89">
        <v>0</v>
      </c>
      <c r="S59" s="89"/>
      <c r="T59" s="81" t="s">
        <v>180</v>
      </c>
      <c r="U59" s="81">
        <v>0</v>
      </c>
      <c r="V59" s="81">
        <v>1</v>
      </c>
      <c r="W59" s="81"/>
      <c r="X59" s="89" t="s">
        <v>113</v>
      </c>
      <c r="Y59" s="89">
        <v>1</v>
      </c>
      <c r="Z59" s="89">
        <v>2</v>
      </c>
      <c r="AA59" s="89"/>
      <c r="AB59" s="81" t="s">
        <v>113</v>
      </c>
      <c r="AC59" s="81">
        <v>15</v>
      </c>
      <c r="AD59" s="81">
        <v>4</v>
      </c>
      <c r="AE59" s="81"/>
      <c r="AF59" s="89" t="s">
        <v>113</v>
      </c>
      <c r="AG59" s="89">
        <v>30</v>
      </c>
      <c r="AH59" s="89">
        <v>0</v>
      </c>
      <c r="AI59" s="89"/>
      <c r="AJ59" s="81"/>
      <c r="AK59" s="81"/>
      <c r="AL59" s="81"/>
      <c r="AM59" s="81"/>
      <c r="AN59" s="89"/>
      <c r="AO59" s="89"/>
      <c r="AP59" s="89"/>
      <c r="AQ59" s="89"/>
      <c r="AR59" s="81"/>
      <c r="AS59" s="81"/>
      <c r="AT59" s="81"/>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25">
      <c r="A60" s="1">
        <v>58</v>
      </c>
      <c r="B60" s="80" t="b">
        <f t="shared" si="19"/>
        <v>1</v>
      </c>
      <c r="C60" s="80" t="b">
        <f t="shared" si="19"/>
        <v>1</v>
      </c>
      <c r="D60" s="79" t="s">
        <v>734</v>
      </c>
      <c r="E60" s="81">
        <f t="shared" si="18"/>
        <v>0.02</v>
      </c>
      <c r="F60" s="81">
        <v>1</v>
      </c>
      <c r="G60" s="81" t="s">
        <v>105</v>
      </c>
      <c r="H60" s="83" t="s">
        <v>219</v>
      </c>
      <c r="I60" s="82" t="s">
        <v>110</v>
      </c>
      <c r="J60" s="81">
        <f t="shared" ref="J60" si="23">inp_Uc/inp_Un</f>
        <v>0.02</v>
      </c>
      <c r="K60" s="81" t="s">
        <v>105</v>
      </c>
      <c r="L60" s="83">
        <f t="shared" si="21"/>
        <v>10</v>
      </c>
      <c r="M60" s="83">
        <f t="shared" si="22"/>
        <v>0.5</v>
      </c>
      <c r="N60" s="83" t="s">
        <v>105</v>
      </c>
      <c r="O60" s="84">
        <v>45</v>
      </c>
      <c r="P60" s="89" t="s">
        <v>113</v>
      </c>
      <c r="Q60" s="89">
        <v>-1</v>
      </c>
      <c r="R60" s="89">
        <v>0</v>
      </c>
      <c r="S60" s="89"/>
      <c r="T60" s="81" t="s">
        <v>180</v>
      </c>
      <c r="U60" s="81">
        <v>0</v>
      </c>
      <c r="V60" s="81">
        <v>1</v>
      </c>
      <c r="W60" s="81"/>
      <c r="X60" s="89" t="s">
        <v>113</v>
      </c>
      <c r="Y60" s="89">
        <v>1</v>
      </c>
      <c r="Z60" s="89">
        <v>2</v>
      </c>
      <c r="AA60" s="89"/>
      <c r="AB60" s="81" t="s">
        <v>113</v>
      </c>
      <c r="AC60" s="81">
        <v>15</v>
      </c>
      <c r="AD60" s="81">
        <v>4</v>
      </c>
      <c r="AE60" s="81"/>
      <c r="AF60" s="89" t="s">
        <v>113</v>
      </c>
      <c r="AG60" s="89">
        <v>30</v>
      </c>
      <c r="AH60" s="89">
        <v>0</v>
      </c>
      <c r="AI60" s="89"/>
      <c r="AJ60" s="81"/>
      <c r="AK60" s="81"/>
      <c r="AL60" s="81"/>
      <c r="AM60" s="81"/>
      <c r="AN60" s="89"/>
      <c r="AO60" s="89"/>
      <c r="AP60" s="89"/>
      <c r="AQ60" s="89"/>
      <c r="AR60" s="81"/>
      <c r="AS60" s="81"/>
      <c r="AT60" s="81"/>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25">
      <c r="A61" s="1">
        <v>59</v>
      </c>
      <c r="B61" s="80" t="b">
        <f t="shared" si="19"/>
        <v>1</v>
      </c>
      <c r="C61" s="80" t="b">
        <f t="shared" si="19"/>
        <v>1</v>
      </c>
      <c r="D61" s="79" t="s">
        <v>735</v>
      </c>
      <c r="E61" s="81">
        <f t="shared" si="18"/>
        <v>0.02</v>
      </c>
      <c r="F61" s="81">
        <v>1</v>
      </c>
      <c r="G61" s="81" t="s">
        <v>105</v>
      </c>
      <c r="H61" s="83" t="s">
        <v>219</v>
      </c>
      <c r="I61" s="82" t="s">
        <v>105</v>
      </c>
      <c r="J61" s="81">
        <f t="shared" si="20"/>
        <v>0</v>
      </c>
      <c r="K61" s="81" t="s">
        <v>105</v>
      </c>
      <c r="L61" s="83">
        <f t="shared" si="21"/>
        <v>10</v>
      </c>
      <c r="M61" s="83">
        <f t="shared" si="22"/>
        <v>0.5</v>
      </c>
      <c r="N61" s="83" t="s">
        <v>105</v>
      </c>
      <c r="O61" s="84">
        <v>45</v>
      </c>
      <c r="P61" s="89" t="s">
        <v>113</v>
      </c>
      <c r="Q61" s="89">
        <v>-1</v>
      </c>
      <c r="R61" s="89">
        <v>0</v>
      </c>
      <c r="S61" s="89"/>
      <c r="T61" s="81" t="s">
        <v>180</v>
      </c>
      <c r="U61" s="81">
        <v>0</v>
      </c>
      <c r="V61" s="81">
        <v>1</v>
      </c>
      <c r="W61" s="81"/>
      <c r="X61" s="89" t="s">
        <v>115</v>
      </c>
      <c r="Y61" s="89">
        <v>1</v>
      </c>
      <c r="Z61" s="92">
        <v>0.2</v>
      </c>
      <c r="AA61" s="89">
        <v>0.45</v>
      </c>
      <c r="AB61" s="81" t="s">
        <v>113</v>
      </c>
      <c r="AC61" s="81">
        <f>Y61+AA61+0.2</f>
        <v>1.65</v>
      </c>
      <c r="AD61" s="81">
        <v>4</v>
      </c>
      <c r="AE61" s="81"/>
      <c r="AF61" s="89" t="s">
        <v>113</v>
      </c>
      <c r="AG61" s="89">
        <v>30</v>
      </c>
      <c r="AH61" s="89">
        <v>0</v>
      </c>
      <c r="AI61" s="89"/>
      <c r="AJ61" s="81"/>
      <c r="AK61" s="81"/>
      <c r="AL61" s="81"/>
      <c r="AM61" s="81"/>
      <c r="AN61" s="89"/>
      <c r="AO61" s="89"/>
      <c r="AP61" s="89"/>
      <c r="AQ61" s="89"/>
      <c r="AR61" s="81"/>
      <c r="AS61" s="81"/>
      <c r="AT61" s="81"/>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25">
      <c r="A62" s="1">
        <v>60</v>
      </c>
      <c r="B62" s="11" t="b">
        <v>1</v>
      </c>
      <c r="C62" s="11" t="b">
        <v>1</v>
      </c>
      <c r="D62" s="1" t="s">
        <v>605</v>
      </c>
      <c r="E62" s="5">
        <f t="shared" si="18"/>
        <v>0.02</v>
      </c>
      <c r="F62" s="24">
        <v>1</v>
      </c>
      <c r="G62" s="24" t="s">
        <v>105</v>
      </c>
      <c r="H62" s="21" t="s">
        <v>219</v>
      </c>
      <c r="I62" s="20" t="s">
        <v>105</v>
      </c>
      <c r="J62" s="24">
        <f t="shared" si="20"/>
        <v>0</v>
      </c>
      <c r="K62" s="24" t="s">
        <v>105</v>
      </c>
      <c r="L62" s="21">
        <f t="shared" si="21"/>
        <v>10</v>
      </c>
      <c r="M62" s="21">
        <f t="shared" si="22"/>
        <v>0.5</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25">
      <c r="A63" s="1">
        <v>61</v>
      </c>
      <c r="B63" s="11" t="b">
        <v>1</v>
      </c>
      <c r="C63" s="11" t="b">
        <v>1</v>
      </c>
      <c r="D63" s="1" t="s">
        <v>606</v>
      </c>
      <c r="E63" s="5">
        <f t="shared" si="18"/>
        <v>0.02</v>
      </c>
      <c r="F63" s="24">
        <v>1</v>
      </c>
      <c r="G63" s="24" t="s">
        <v>105</v>
      </c>
      <c r="H63" s="21" t="s">
        <v>219</v>
      </c>
      <c r="I63" s="20" t="s">
        <v>105</v>
      </c>
      <c r="J63" s="24">
        <f t="shared" si="20"/>
        <v>0</v>
      </c>
      <c r="K63" s="24" t="s">
        <v>105</v>
      </c>
      <c r="L63" s="21">
        <f t="shared" si="21"/>
        <v>10</v>
      </c>
      <c r="M63" s="21">
        <f t="shared" si="22"/>
        <v>0.5</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25">
      <c r="A64" s="1">
        <v>62</v>
      </c>
      <c r="B64" s="11" t="b">
        <v>1</v>
      </c>
      <c r="C64" s="11" t="b">
        <v>1</v>
      </c>
      <c r="D64" s="1" t="s">
        <v>607</v>
      </c>
      <c r="E64" s="5">
        <f t="shared" si="18"/>
        <v>0.02</v>
      </c>
      <c r="F64" s="24">
        <v>0.7</v>
      </c>
      <c r="G64" s="24" t="s">
        <v>105</v>
      </c>
      <c r="H64" s="21" t="s">
        <v>219</v>
      </c>
      <c r="I64" s="20" t="s">
        <v>105</v>
      </c>
      <c r="J64" s="24">
        <f t="shared" si="20"/>
        <v>0</v>
      </c>
      <c r="K64" s="24" t="s">
        <v>105</v>
      </c>
      <c r="L64" s="21">
        <f t="shared" si="21"/>
        <v>10</v>
      </c>
      <c r="M64" s="21">
        <f t="shared" si="22"/>
        <v>0.5</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25">
      <c r="A65" s="1">
        <v>63</v>
      </c>
      <c r="B65" s="11" t="b">
        <v>1</v>
      </c>
      <c r="C65" s="11" t="b">
        <v>1</v>
      </c>
      <c r="D65" s="1" t="s">
        <v>608</v>
      </c>
      <c r="E65" s="5">
        <f t="shared" si="18"/>
        <v>0.02</v>
      </c>
      <c r="F65" s="24">
        <v>0.7</v>
      </c>
      <c r="G65" s="24" t="s">
        <v>105</v>
      </c>
      <c r="H65" s="21" t="s">
        <v>219</v>
      </c>
      <c r="I65" s="20" t="s">
        <v>105</v>
      </c>
      <c r="J65" s="24">
        <f t="shared" si="20"/>
        <v>0</v>
      </c>
      <c r="K65" s="24" t="s">
        <v>105</v>
      </c>
      <c r="L65" s="21">
        <f t="shared" si="21"/>
        <v>10</v>
      </c>
      <c r="M65" s="21">
        <f t="shared" si="22"/>
        <v>0.5</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25">
      <c r="A66" s="1">
        <v>64</v>
      </c>
      <c r="B66" s="11" t="b">
        <v>1</v>
      </c>
      <c r="C66" s="11" t="b">
        <v>1</v>
      </c>
      <c r="D66" s="1" t="s">
        <v>609</v>
      </c>
      <c r="E66" s="5">
        <f t="shared" si="18"/>
        <v>0.02</v>
      </c>
      <c r="F66" s="24">
        <v>0.7</v>
      </c>
      <c r="G66" s="24" t="s">
        <v>105</v>
      </c>
      <c r="H66" s="21" t="s">
        <v>219</v>
      </c>
      <c r="I66" s="20" t="s">
        <v>105</v>
      </c>
      <c r="J66" s="24">
        <f t="shared" si="20"/>
        <v>0</v>
      </c>
      <c r="K66" s="24" t="s">
        <v>105</v>
      </c>
      <c r="L66" s="21">
        <f t="shared" si="21"/>
        <v>10</v>
      </c>
      <c r="M66" s="21">
        <f t="shared" si="22"/>
        <v>0.5</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25">
      <c r="A67" s="1">
        <v>65</v>
      </c>
      <c r="B67" s="11" t="b">
        <v>1</v>
      </c>
      <c r="C67" s="11" t="b">
        <v>1</v>
      </c>
      <c r="D67" s="1" t="s">
        <v>610</v>
      </c>
      <c r="E67" s="5">
        <f t="shared" si="18"/>
        <v>0.02</v>
      </c>
      <c r="F67" s="24">
        <v>0.7</v>
      </c>
      <c r="G67" s="24" t="s">
        <v>105</v>
      </c>
      <c r="H67" s="21" t="s">
        <v>219</v>
      </c>
      <c r="I67" s="20" t="s">
        <v>105</v>
      </c>
      <c r="J67" s="24">
        <f t="shared" si="20"/>
        <v>0</v>
      </c>
      <c r="K67" s="24" t="s">
        <v>105</v>
      </c>
      <c r="L67" s="21">
        <f t="shared" si="21"/>
        <v>10</v>
      </c>
      <c r="M67" s="21">
        <f t="shared" si="22"/>
        <v>0.5</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25">
      <c r="A68" s="1">
        <v>66</v>
      </c>
      <c r="B68" s="11" t="b">
        <v>1</v>
      </c>
      <c r="C68" s="11" t="b">
        <v>1</v>
      </c>
      <c r="D68" s="1" t="s">
        <v>611</v>
      </c>
      <c r="E68" s="5">
        <f t="shared" si="18"/>
        <v>0.02</v>
      </c>
      <c r="F68" s="24">
        <v>1</v>
      </c>
      <c r="G68" s="24" t="s">
        <v>105</v>
      </c>
      <c r="H68" s="21" t="s">
        <v>219</v>
      </c>
      <c r="I68" s="20" t="s">
        <v>105</v>
      </c>
      <c r="J68" s="24">
        <f t="shared" si="20"/>
        <v>0</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25">
      <c r="A69" s="1">
        <v>67</v>
      </c>
      <c r="B69" s="11" t="b">
        <v>1</v>
      </c>
      <c r="C69" s="11" t="b">
        <v>1</v>
      </c>
      <c r="D69" s="1" t="s">
        <v>725</v>
      </c>
      <c r="E69" s="5">
        <f t="shared" si="18"/>
        <v>0.02</v>
      </c>
      <c r="F69" s="24">
        <v>0.5</v>
      </c>
      <c r="G69" s="24" t="s">
        <v>105</v>
      </c>
      <c r="H69" s="21" t="s">
        <v>219</v>
      </c>
      <c r="I69" s="20" t="s">
        <v>105</v>
      </c>
      <c r="J69" s="24">
        <f t="shared" si="20"/>
        <v>0</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25">
      <c r="A70" s="1">
        <v>68</v>
      </c>
      <c r="B70" s="80" t="b">
        <f t="shared" ref="B70:C71" si="24">inp_Un&gt;=110</f>
        <v>1</v>
      </c>
      <c r="C70" s="80" t="b">
        <f t="shared" si="24"/>
        <v>1</v>
      </c>
      <c r="D70" s="79" t="s">
        <v>726</v>
      </c>
      <c r="E70" s="81">
        <f t="shared" si="18"/>
        <v>0.02</v>
      </c>
      <c r="F70" s="81">
        <v>0.5</v>
      </c>
      <c r="G70" s="81">
        <v>0.5</v>
      </c>
      <c r="H70" s="83" t="s">
        <v>219</v>
      </c>
      <c r="I70" s="82" t="s">
        <v>105</v>
      </c>
      <c r="J70" s="81">
        <f t="shared" si="20"/>
        <v>0</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25">
      <c r="A71" s="1">
        <v>69</v>
      </c>
      <c r="B71" s="80" t="b">
        <f t="shared" si="24"/>
        <v>1</v>
      </c>
      <c r="C71" s="80" t="b">
        <f t="shared" si="24"/>
        <v>1</v>
      </c>
      <c r="D71" s="79" t="s">
        <v>612</v>
      </c>
      <c r="E71" s="81">
        <f t="shared" si="18"/>
        <v>0.02</v>
      </c>
      <c r="F71" s="81">
        <v>1</v>
      </c>
      <c r="G71" s="81" t="s">
        <v>105</v>
      </c>
      <c r="H71" s="83" t="s">
        <v>219</v>
      </c>
      <c r="I71" s="82" t="s">
        <v>105</v>
      </c>
      <c r="J71" s="81">
        <f t="shared" si="20"/>
        <v>0</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25">
      <c r="A72" s="1">
        <v>70</v>
      </c>
      <c r="B72" s="11" t="b">
        <v>1</v>
      </c>
      <c r="C72" s="11" t="b">
        <v>1</v>
      </c>
      <c r="D72" s="1" t="s">
        <v>613</v>
      </c>
      <c r="E72" s="5">
        <f t="shared" si="18"/>
        <v>0.02</v>
      </c>
      <c r="F72" s="24">
        <v>1</v>
      </c>
      <c r="G72" s="24" t="s">
        <v>105</v>
      </c>
      <c r="H72" s="21" t="s">
        <v>219</v>
      </c>
      <c r="I72" s="20" t="s">
        <v>105</v>
      </c>
      <c r="J72" s="24">
        <f t="shared" si="20"/>
        <v>0</v>
      </c>
      <c r="K72" s="24" t="s">
        <v>105</v>
      </c>
      <c r="L72" s="21">
        <f t="shared" ref="L72:L93" si="25">inp_scr_min</f>
        <v>10</v>
      </c>
      <c r="M72" s="21">
        <f t="shared" ref="M72:M93" si="26">inp_xr_min</f>
        <v>0.5</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25">
      <c r="A73" s="1">
        <v>71</v>
      </c>
      <c r="B73" s="11" t="b">
        <v>1</v>
      </c>
      <c r="C73" s="11" t="b">
        <v>1</v>
      </c>
      <c r="D73" s="1" t="s">
        <v>614</v>
      </c>
      <c r="E73" s="5">
        <f t="shared" si="18"/>
        <v>0.02</v>
      </c>
      <c r="F73" s="24">
        <v>1</v>
      </c>
      <c r="G73" s="24" t="s">
        <v>105</v>
      </c>
      <c r="H73" s="21" t="s">
        <v>219</v>
      </c>
      <c r="I73" s="20" t="s">
        <v>105</v>
      </c>
      <c r="J73" s="24">
        <f t="shared" si="20"/>
        <v>0</v>
      </c>
      <c r="K73" s="24" t="s">
        <v>105</v>
      </c>
      <c r="L73" s="21">
        <f t="shared" si="25"/>
        <v>10</v>
      </c>
      <c r="M73" s="21">
        <f t="shared" si="26"/>
        <v>0.5</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25">
      <c r="A74" s="1">
        <v>72</v>
      </c>
      <c r="B74" s="11" t="b">
        <v>1</v>
      </c>
      <c r="C74" s="11" t="b">
        <v>1</v>
      </c>
      <c r="D74" s="1" t="s">
        <v>615</v>
      </c>
      <c r="E74" s="5">
        <f t="shared" si="18"/>
        <v>0.02</v>
      </c>
      <c r="F74" s="24">
        <v>1</v>
      </c>
      <c r="G74" s="24" t="s">
        <v>105</v>
      </c>
      <c r="H74" s="21" t="s">
        <v>219</v>
      </c>
      <c r="I74" s="20" t="s">
        <v>105</v>
      </c>
      <c r="J74" s="24">
        <f t="shared" si="20"/>
        <v>0</v>
      </c>
      <c r="K74" s="24" t="s">
        <v>105</v>
      </c>
      <c r="L74" s="21">
        <f t="shared" si="25"/>
        <v>10</v>
      </c>
      <c r="M74" s="21">
        <f t="shared" si="26"/>
        <v>0.5</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25">
      <c r="A75" s="1">
        <v>73</v>
      </c>
      <c r="B75" s="11" t="b">
        <v>1</v>
      </c>
      <c r="C75" s="11" t="b">
        <v>1</v>
      </c>
      <c r="D75" s="1" t="s">
        <v>616</v>
      </c>
      <c r="E75" s="5">
        <f t="shared" si="18"/>
        <v>0.02</v>
      </c>
      <c r="F75" s="24">
        <v>1</v>
      </c>
      <c r="G75" s="24" t="s">
        <v>105</v>
      </c>
      <c r="H75" s="21" t="s">
        <v>219</v>
      </c>
      <c r="I75" s="20" t="s">
        <v>105</v>
      </c>
      <c r="J75" s="24">
        <f t="shared" si="20"/>
        <v>0</v>
      </c>
      <c r="K75" s="24" t="s">
        <v>105</v>
      </c>
      <c r="L75" s="21">
        <f t="shared" si="25"/>
        <v>10</v>
      </c>
      <c r="M75" s="21">
        <f t="shared" si="26"/>
        <v>0.5</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25">
      <c r="A76" s="1">
        <v>74</v>
      </c>
      <c r="B76" s="11" t="b">
        <v>1</v>
      </c>
      <c r="C76" s="11" t="b">
        <v>1</v>
      </c>
      <c r="D76" s="1" t="s">
        <v>617</v>
      </c>
      <c r="E76" s="5">
        <f t="shared" si="18"/>
        <v>0.02</v>
      </c>
      <c r="F76" s="24">
        <v>1</v>
      </c>
      <c r="G76" s="24" t="s">
        <v>105</v>
      </c>
      <c r="H76" s="21" t="s">
        <v>219</v>
      </c>
      <c r="I76" s="20" t="s">
        <v>105</v>
      </c>
      <c r="J76" s="24">
        <f t="shared" si="20"/>
        <v>0</v>
      </c>
      <c r="K76" s="24" t="s">
        <v>105</v>
      </c>
      <c r="L76" s="21">
        <f t="shared" si="25"/>
        <v>10</v>
      </c>
      <c r="M76" s="21">
        <f t="shared" si="26"/>
        <v>0.5</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25">
      <c r="A77" s="1">
        <v>75</v>
      </c>
      <c r="B77" s="11" t="b">
        <v>1</v>
      </c>
      <c r="C77" s="11" t="b">
        <v>1</v>
      </c>
      <c r="D77" s="1" t="s">
        <v>618</v>
      </c>
      <c r="E77" s="5">
        <f t="shared" si="18"/>
        <v>0.02</v>
      </c>
      <c r="F77" s="24">
        <v>1</v>
      </c>
      <c r="G77" s="24" t="s">
        <v>105</v>
      </c>
      <c r="H77" s="21" t="s">
        <v>219</v>
      </c>
      <c r="I77" s="20" t="s">
        <v>105</v>
      </c>
      <c r="J77" s="24">
        <f t="shared" si="20"/>
        <v>0</v>
      </c>
      <c r="K77" s="24" t="s">
        <v>105</v>
      </c>
      <c r="L77" s="21">
        <f t="shared" si="25"/>
        <v>10</v>
      </c>
      <c r="M77" s="21">
        <f t="shared" si="26"/>
        <v>0.5</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25">
      <c r="A78" s="1">
        <v>76</v>
      </c>
      <c r="B78" s="11" t="b">
        <v>1</v>
      </c>
      <c r="C78" s="11" t="b">
        <v>1</v>
      </c>
      <c r="D78" s="1" t="s">
        <v>619</v>
      </c>
      <c r="E78" s="5">
        <f t="shared" si="18"/>
        <v>0.02</v>
      </c>
      <c r="F78" s="24">
        <v>1</v>
      </c>
      <c r="G78" s="24" t="s">
        <v>105</v>
      </c>
      <c r="H78" s="21" t="s">
        <v>219</v>
      </c>
      <c r="I78" s="20" t="s">
        <v>105</v>
      </c>
      <c r="J78" s="24">
        <f t="shared" si="20"/>
        <v>0</v>
      </c>
      <c r="K78" s="24" t="s">
        <v>105</v>
      </c>
      <c r="L78" s="21">
        <f t="shared" si="25"/>
        <v>10</v>
      </c>
      <c r="M78" s="21">
        <f t="shared" si="26"/>
        <v>0.5</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25">
      <c r="A79" s="1">
        <v>77</v>
      </c>
      <c r="B79" s="11" t="b">
        <v>1</v>
      </c>
      <c r="C79" s="11" t="b">
        <v>1</v>
      </c>
      <c r="D79" s="1" t="s">
        <v>620</v>
      </c>
      <c r="E79" s="5">
        <f t="shared" si="18"/>
        <v>0.02</v>
      </c>
      <c r="F79" s="24">
        <v>1</v>
      </c>
      <c r="G79" s="24" t="s">
        <v>105</v>
      </c>
      <c r="H79" s="21" t="s">
        <v>219</v>
      </c>
      <c r="I79" s="20" t="s">
        <v>105</v>
      </c>
      <c r="J79" s="24">
        <f t="shared" si="20"/>
        <v>0</v>
      </c>
      <c r="K79" s="24" t="s">
        <v>105</v>
      </c>
      <c r="L79" s="21">
        <f t="shared" si="25"/>
        <v>10</v>
      </c>
      <c r="M79" s="21">
        <f t="shared" si="26"/>
        <v>0.5</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25">
      <c r="A80" s="1">
        <v>78</v>
      </c>
      <c r="B80" s="11" t="b">
        <v>1</v>
      </c>
      <c r="C80" s="11" t="b">
        <v>1</v>
      </c>
      <c r="D80" s="1" t="s">
        <v>621</v>
      </c>
      <c r="E80" s="5">
        <f t="shared" si="18"/>
        <v>0.02</v>
      </c>
      <c r="F80" s="24">
        <v>1</v>
      </c>
      <c r="G80" s="24" t="s">
        <v>105</v>
      </c>
      <c r="H80" s="21" t="s">
        <v>219</v>
      </c>
      <c r="I80" s="20" t="s">
        <v>105</v>
      </c>
      <c r="J80" s="24">
        <f t="shared" si="20"/>
        <v>0</v>
      </c>
      <c r="K80" s="24" t="s">
        <v>105</v>
      </c>
      <c r="L80" s="21">
        <f t="shared" si="25"/>
        <v>10</v>
      </c>
      <c r="M80" s="21">
        <f t="shared" si="26"/>
        <v>0.5</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25">
      <c r="A81" s="1">
        <v>79</v>
      </c>
      <c r="B81" s="11" t="b">
        <v>1</v>
      </c>
      <c r="C81" s="11" t="b">
        <v>1</v>
      </c>
      <c r="D81" s="1" t="s">
        <v>622</v>
      </c>
      <c r="E81" s="5">
        <f t="shared" si="18"/>
        <v>0.02</v>
      </c>
      <c r="F81" s="24">
        <v>1</v>
      </c>
      <c r="G81" s="24" t="s">
        <v>105</v>
      </c>
      <c r="H81" s="21" t="s">
        <v>219</v>
      </c>
      <c r="I81" s="20" t="s">
        <v>105</v>
      </c>
      <c r="J81" s="24">
        <f t="shared" si="20"/>
        <v>0</v>
      </c>
      <c r="K81" s="24" t="s">
        <v>105</v>
      </c>
      <c r="L81" s="21">
        <f t="shared" si="25"/>
        <v>10</v>
      </c>
      <c r="M81" s="21">
        <f t="shared" si="26"/>
        <v>0.5</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25">
      <c r="A82" s="1">
        <v>80</v>
      </c>
      <c r="B82" s="11" t="b">
        <v>1</v>
      </c>
      <c r="C82" s="11" t="b">
        <v>1</v>
      </c>
      <c r="D82" s="1" t="s">
        <v>623</v>
      </c>
      <c r="E82" s="5">
        <f t="shared" si="18"/>
        <v>0.02</v>
      </c>
      <c r="F82" s="24">
        <v>1</v>
      </c>
      <c r="G82" s="24" t="s">
        <v>105</v>
      </c>
      <c r="H82" s="21" t="s">
        <v>219</v>
      </c>
      <c r="I82" s="20" t="s">
        <v>105</v>
      </c>
      <c r="J82" s="24">
        <f t="shared" si="20"/>
        <v>0</v>
      </c>
      <c r="K82" s="24" t="s">
        <v>105</v>
      </c>
      <c r="L82" s="21">
        <f t="shared" si="25"/>
        <v>10</v>
      </c>
      <c r="M82" s="21">
        <f t="shared" si="26"/>
        <v>0.5</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25">
      <c r="A83" s="1">
        <v>81</v>
      </c>
      <c r="B83" s="11" t="b">
        <v>1</v>
      </c>
      <c r="C83" s="11" t="b">
        <v>1</v>
      </c>
      <c r="D83" s="1" t="s">
        <v>624</v>
      </c>
      <c r="E83" s="5">
        <f t="shared" si="18"/>
        <v>0.02</v>
      </c>
      <c r="F83" s="24">
        <v>1</v>
      </c>
      <c r="G83" s="24" t="s">
        <v>105</v>
      </c>
      <c r="H83" s="21" t="s">
        <v>219</v>
      </c>
      <c r="I83" s="20" t="s">
        <v>105</v>
      </c>
      <c r="J83" s="24">
        <f t="shared" si="20"/>
        <v>0</v>
      </c>
      <c r="K83" s="24" t="s">
        <v>105</v>
      </c>
      <c r="L83" s="21">
        <f t="shared" si="25"/>
        <v>10</v>
      </c>
      <c r="M83" s="21">
        <f t="shared" si="26"/>
        <v>0.5</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25">
      <c r="A84" s="1">
        <v>82</v>
      </c>
      <c r="B84" s="11" t="b">
        <v>1</v>
      </c>
      <c r="C84" s="11" t="b">
        <v>1</v>
      </c>
      <c r="D84" s="1" t="s">
        <v>625</v>
      </c>
      <c r="E84" s="5">
        <f t="shared" si="18"/>
        <v>0.02</v>
      </c>
      <c r="F84" s="24">
        <v>1</v>
      </c>
      <c r="G84" s="24" t="s">
        <v>105</v>
      </c>
      <c r="H84" s="21" t="s">
        <v>219</v>
      </c>
      <c r="I84" s="20" t="s">
        <v>105</v>
      </c>
      <c r="J84" s="24">
        <f t="shared" si="20"/>
        <v>0</v>
      </c>
      <c r="K84" s="24" t="s">
        <v>105</v>
      </c>
      <c r="L84" s="21">
        <f t="shared" si="25"/>
        <v>10</v>
      </c>
      <c r="M84" s="21">
        <f t="shared" si="26"/>
        <v>0.5</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25">
      <c r="A85" s="1">
        <v>83</v>
      </c>
      <c r="B85" s="11" t="b">
        <v>1</v>
      </c>
      <c r="C85" s="11" t="b">
        <v>1</v>
      </c>
      <c r="D85" s="1" t="s">
        <v>626</v>
      </c>
      <c r="E85" s="5">
        <f t="shared" si="18"/>
        <v>0.02</v>
      </c>
      <c r="F85" s="24">
        <v>1</v>
      </c>
      <c r="G85" s="24" t="s">
        <v>105</v>
      </c>
      <c r="H85" s="21" t="s">
        <v>219</v>
      </c>
      <c r="I85" s="20" t="s">
        <v>105</v>
      </c>
      <c r="J85" s="24">
        <f t="shared" si="20"/>
        <v>0</v>
      </c>
      <c r="K85" s="24" t="s">
        <v>105</v>
      </c>
      <c r="L85" s="21">
        <f t="shared" si="25"/>
        <v>10</v>
      </c>
      <c r="M85" s="21">
        <f t="shared" si="26"/>
        <v>0.5</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25">
      <c r="A86" s="1">
        <v>84</v>
      </c>
      <c r="B86" s="11" t="b">
        <v>1</v>
      </c>
      <c r="C86" s="11" t="b">
        <v>1</v>
      </c>
      <c r="D86" s="1" t="s">
        <v>627</v>
      </c>
      <c r="E86" s="5">
        <f t="shared" si="18"/>
        <v>0.02</v>
      </c>
      <c r="F86" s="24">
        <v>1</v>
      </c>
      <c r="G86" s="24" t="s">
        <v>105</v>
      </c>
      <c r="H86" s="21" t="s">
        <v>219</v>
      </c>
      <c r="I86" s="20" t="s">
        <v>105</v>
      </c>
      <c r="J86" s="24">
        <f t="shared" si="20"/>
        <v>0</v>
      </c>
      <c r="K86" s="24" t="s">
        <v>105</v>
      </c>
      <c r="L86" s="21">
        <f t="shared" si="25"/>
        <v>10</v>
      </c>
      <c r="M86" s="21">
        <f t="shared" si="26"/>
        <v>0.5</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25">
      <c r="A87" s="1">
        <v>85</v>
      </c>
      <c r="B87" s="11" t="b">
        <v>1</v>
      </c>
      <c r="C87" s="11" t="b">
        <v>1</v>
      </c>
      <c r="D87" s="1" t="s">
        <v>628</v>
      </c>
      <c r="E87" s="5">
        <f t="shared" si="18"/>
        <v>0.02</v>
      </c>
      <c r="F87" s="24">
        <v>1</v>
      </c>
      <c r="G87" s="24" t="s">
        <v>105</v>
      </c>
      <c r="H87" s="21" t="s">
        <v>219</v>
      </c>
      <c r="I87" s="20" t="s">
        <v>105</v>
      </c>
      <c r="J87" s="24">
        <f t="shared" si="20"/>
        <v>0</v>
      </c>
      <c r="K87" s="24" t="s">
        <v>105</v>
      </c>
      <c r="L87" s="21">
        <f t="shared" si="25"/>
        <v>10</v>
      </c>
      <c r="M87" s="21">
        <f t="shared" si="26"/>
        <v>0.5</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25">
      <c r="A88" s="1">
        <v>86</v>
      </c>
      <c r="B88" s="11" t="b">
        <v>1</v>
      </c>
      <c r="C88" s="11" t="b">
        <v>1</v>
      </c>
      <c r="D88" s="1" t="s">
        <v>629</v>
      </c>
      <c r="E88" s="5">
        <f t="shared" si="18"/>
        <v>0.02</v>
      </c>
      <c r="F88" s="24">
        <v>1</v>
      </c>
      <c r="G88" s="24" t="s">
        <v>105</v>
      </c>
      <c r="H88" s="21" t="s">
        <v>219</v>
      </c>
      <c r="I88" s="20" t="s">
        <v>105</v>
      </c>
      <c r="J88" s="24">
        <f t="shared" si="20"/>
        <v>0</v>
      </c>
      <c r="K88" s="24" t="s">
        <v>105</v>
      </c>
      <c r="L88" s="21">
        <f t="shared" si="25"/>
        <v>10</v>
      </c>
      <c r="M88" s="21">
        <f t="shared" si="26"/>
        <v>0.5</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25">
      <c r="A89" s="1">
        <v>87</v>
      </c>
      <c r="B89" s="11" t="b">
        <v>1</v>
      </c>
      <c r="C89" s="11" t="b">
        <v>1</v>
      </c>
      <c r="D89" s="1" t="s">
        <v>630</v>
      </c>
      <c r="E89" s="5">
        <f t="shared" si="18"/>
        <v>0.02</v>
      </c>
      <c r="F89" s="24">
        <v>1</v>
      </c>
      <c r="G89" s="24" t="s">
        <v>105</v>
      </c>
      <c r="H89" s="21" t="s">
        <v>219</v>
      </c>
      <c r="I89" s="20" t="s">
        <v>105</v>
      </c>
      <c r="J89" s="24">
        <f t="shared" si="20"/>
        <v>0</v>
      </c>
      <c r="K89" s="24" t="s">
        <v>105</v>
      </c>
      <c r="L89" s="21">
        <f t="shared" si="25"/>
        <v>10</v>
      </c>
      <c r="M89" s="21">
        <f t="shared" si="26"/>
        <v>0.5</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25">
      <c r="A90" s="1">
        <v>88</v>
      </c>
      <c r="B90" s="11" t="b">
        <v>1</v>
      </c>
      <c r="C90" s="11" t="b">
        <v>1</v>
      </c>
      <c r="D90" s="1" t="s">
        <v>631</v>
      </c>
      <c r="E90" s="5">
        <f t="shared" si="18"/>
        <v>0.02</v>
      </c>
      <c r="F90" s="24">
        <v>1</v>
      </c>
      <c r="G90" s="24" t="s">
        <v>105</v>
      </c>
      <c r="H90" s="21" t="s">
        <v>219</v>
      </c>
      <c r="I90" s="20" t="s">
        <v>105</v>
      </c>
      <c r="J90" s="24">
        <f t="shared" si="20"/>
        <v>0</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25">
      <c r="A91" s="1">
        <v>89</v>
      </c>
      <c r="B91" s="80" t="b">
        <f t="shared" ref="B91:C99" si="30">inp_Un&gt;=110</f>
        <v>1</v>
      </c>
      <c r="C91" s="80" t="b">
        <f t="shared" si="30"/>
        <v>1</v>
      </c>
      <c r="D91" s="79" t="s">
        <v>632</v>
      </c>
      <c r="E91" s="81">
        <f t="shared" si="18"/>
        <v>0.02</v>
      </c>
      <c r="F91" s="81">
        <v>1</v>
      </c>
      <c r="G91" s="81" t="s">
        <v>105</v>
      </c>
      <c r="H91" s="83" t="s">
        <v>219</v>
      </c>
      <c r="I91" s="82" t="s">
        <v>105</v>
      </c>
      <c r="J91" s="81">
        <f t="shared" si="20"/>
        <v>0</v>
      </c>
      <c r="K91" s="81" t="s">
        <v>105</v>
      </c>
      <c r="L91" s="83">
        <f t="shared" si="25"/>
        <v>10</v>
      </c>
      <c r="M91" s="83">
        <f t="shared" si="26"/>
        <v>0.5</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25">
      <c r="A92" s="1">
        <v>90</v>
      </c>
      <c r="B92" s="80" t="b">
        <f t="shared" si="30"/>
        <v>1</v>
      </c>
      <c r="C92" s="80" t="b">
        <f t="shared" si="30"/>
        <v>1</v>
      </c>
      <c r="D92" s="79" t="s">
        <v>633</v>
      </c>
      <c r="E92" s="81">
        <f t="shared" si="18"/>
        <v>0.02</v>
      </c>
      <c r="F92" s="81">
        <v>1</v>
      </c>
      <c r="G92" s="81" t="s">
        <v>105</v>
      </c>
      <c r="H92" s="83" t="s">
        <v>219</v>
      </c>
      <c r="I92" s="82" t="s">
        <v>105</v>
      </c>
      <c r="J92" s="81">
        <f t="shared" si="20"/>
        <v>0</v>
      </c>
      <c r="K92" s="81" t="s">
        <v>105</v>
      </c>
      <c r="L92" s="83">
        <f t="shared" si="25"/>
        <v>10</v>
      </c>
      <c r="M92" s="83">
        <f t="shared" si="26"/>
        <v>0.5</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25">
      <c r="A93" s="1">
        <v>91</v>
      </c>
      <c r="B93" s="80" t="b">
        <f t="shared" si="30"/>
        <v>1</v>
      </c>
      <c r="C93" s="80" t="b">
        <f t="shared" si="30"/>
        <v>1</v>
      </c>
      <c r="D93" s="79" t="s">
        <v>634</v>
      </c>
      <c r="E93" s="81">
        <f t="shared" si="18"/>
        <v>0.02</v>
      </c>
      <c r="F93" s="81">
        <v>1</v>
      </c>
      <c r="G93" s="81" t="s">
        <v>105</v>
      </c>
      <c r="H93" s="83" t="s">
        <v>219</v>
      </c>
      <c r="I93" s="82" t="s">
        <v>105</v>
      </c>
      <c r="J93" s="81">
        <f t="shared" si="20"/>
        <v>0</v>
      </c>
      <c r="K93" s="81" t="s">
        <v>105</v>
      </c>
      <c r="L93" s="83">
        <f t="shared" si="25"/>
        <v>10</v>
      </c>
      <c r="M93" s="83">
        <f t="shared" si="26"/>
        <v>0.5</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25">
      <c r="A94" s="1">
        <v>92</v>
      </c>
      <c r="B94" s="80" t="b">
        <f t="shared" si="30"/>
        <v>1</v>
      </c>
      <c r="C94" s="80" t="b">
        <f t="shared" si="30"/>
        <v>1</v>
      </c>
      <c r="D94" s="79" t="s">
        <v>635</v>
      </c>
      <c r="E94" s="81">
        <f t="shared" si="18"/>
        <v>0.02</v>
      </c>
      <c r="F94" s="81">
        <v>1</v>
      </c>
      <c r="G94" s="81" t="s">
        <v>105</v>
      </c>
      <c r="H94" s="83" t="s">
        <v>219</v>
      </c>
      <c r="I94" s="82" t="s">
        <v>105</v>
      </c>
      <c r="J94" s="81">
        <f t="shared" si="20"/>
        <v>0</v>
      </c>
      <c r="K94" s="81" t="s">
        <v>105</v>
      </c>
      <c r="L94" s="83">
        <f>inp_scr_tun</f>
        <v>20</v>
      </c>
      <c r="M94" s="83">
        <f>inp_xr_tun</f>
        <v>-100</v>
      </c>
      <c r="N94" s="83" t="s">
        <v>105</v>
      </c>
      <c r="O94" s="84">
        <v>15</v>
      </c>
      <c r="P94" s="89" t="s">
        <v>115</v>
      </c>
      <c r="Q94" s="89">
        <v>0</v>
      </c>
      <c r="R94" s="93">
        <v>0.05</v>
      </c>
      <c r="S94" s="89">
        <v>0.15</v>
      </c>
      <c r="T94" s="81" t="s">
        <v>119</v>
      </c>
      <c r="U94" s="81">
        <f>Q94+S94-0.001</f>
        <v>0.14899999999999999</v>
      </c>
      <c r="V94" s="81">
        <f>inp_scr_min</f>
        <v>10</v>
      </c>
      <c r="W94" s="81">
        <f>inp_xr_min</f>
        <v>0.5</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25">
      <c r="A95" s="1">
        <v>93</v>
      </c>
      <c r="B95" s="80" t="b">
        <f t="shared" si="30"/>
        <v>1</v>
      </c>
      <c r="C95" s="80" t="b">
        <f t="shared" si="30"/>
        <v>1</v>
      </c>
      <c r="D95" s="79" t="s">
        <v>636</v>
      </c>
      <c r="E95" s="81">
        <f t="shared" si="18"/>
        <v>0.02</v>
      </c>
      <c r="F95" s="81">
        <v>1</v>
      </c>
      <c r="G95" s="81" t="s">
        <v>105</v>
      </c>
      <c r="H95" s="83" t="s">
        <v>219</v>
      </c>
      <c r="I95" s="82" t="s">
        <v>105</v>
      </c>
      <c r="J95" s="81">
        <f t="shared" si="20"/>
        <v>0</v>
      </c>
      <c r="K95" s="81" t="s">
        <v>105</v>
      </c>
      <c r="L95" s="83">
        <f>inp_scr_tun</f>
        <v>20</v>
      </c>
      <c r="M95" s="83">
        <f>inp_xr_tun</f>
        <v>-100</v>
      </c>
      <c r="N95" s="83" t="s">
        <v>105</v>
      </c>
      <c r="O95" s="84">
        <v>15</v>
      </c>
      <c r="P95" s="89" t="s">
        <v>118</v>
      </c>
      <c r="Q95" s="89">
        <v>0</v>
      </c>
      <c r="R95" s="93">
        <v>0.1</v>
      </c>
      <c r="S95" s="89">
        <v>0.15</v>
      </c>
      <c r="T95" s="81" t="s">
        <v>119</v>
      </c>
      <c r="U95" s="81">
        <f>Q95+S95-0.001</f>
        <v>0.14899999999999999</v>
      </c>
      <c r="V95" s="81">
        <f>inp_scr_min</f>
        <v>10</v>
      </c>
      <c r="W95" s="81">
        <f>inp_xr_min</f>
        <v>0.5</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25">
      <c r="A96" s="1">
        <v>94</v>
      </c>
      <c r="B96" s="80" t="b">
        <f t="shared" si="30"/>
        <v>1</v>
      </c>
      <c r="C96" s="80" t="b">
        <f t="shared" si="30"/>
        <v>1</v>
      </c>
      <c r="D96" s="79" t="s">
        <v>639</v>
      </c>
      <c r="E96" s="81">
        <f t="shared" ref="E96:E99" si="31">inp_Uc/inp_Un</f>
        <v>0.02</v>
      </c>
      <c r="F96" s="81">
        <v>0.5</v>
      </c>
      <c r="G96" s="81" t="s">
        <v>105</v>
      </c>
      <c r="H96" s="83" t="s">
        <v>219</v>
      </c>
      <c r="I96" s="82" t="s">
        <v>105</v>
      </c>
      <c r="J96" s="81">
        <f t="shared" si="20"/>
        <v>0</v>
      </c>
      <c r="K96" s="81" t="s">
        <v>105</v>
      </c>
      <c r="L96" s="83">
        <f t="shared" ref="L96:L99" si="32">inp_scr_min</f>
        <v>10</v>
      </c>
      <c r="M96" s="83">
        <f t="shared" ref="M96:M99" si="33">inp_xr_min</f>
        <v>0.5</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25">
      <c r="A97" s="1">
        <v>95</v>
      </c>
      <c r="B97" s="80" t="b">
        <f t="shared" si="30"/>
        <v>1</v>
      </c>
      <c r="C97" s="80" t="b">
        <f t="shared" si="30"/>
        <v>1</v>
      </c>
      <c r="D97" s="79" t="s">
        <v>640</v>
      </c>
      <c r="E97" s="81">
        <f t="shared" si="31"/>
        <v>0.02</v>
      </c>
      <c r="F97" s="81">
        <v>0.7</v>
      </c>
      <c r="G97" s="81" t="s">
        <v>105</v>
      </c>
      <c r="H97" s="83" t="s">
        <v>220</v>
      </c>
      <c r="I97" s="82" t="s">
        <v>105</v>
      </c>
      <c r="J97" s="81">
        <f t="shared" si="20"/>
        <v>0</v>
      </c>
      <c r="K97" s="81" t="s">
        <v>105</v>
      </c>
      <c r="L97" s="83">
        <f t="shared" si="32"/>
        <v>10</v>
      </c>
      <c r="M97" s="83">
        <f t="shared" si="33"/>
        <v>0.5</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25">
      <c r="A98" s="1">
        <v>96</v>
      </c>
      <c r="B98" s="80" t="b">
        <f t="shared" si="30"/>
        <v>1</v>
      </c>
      <c r="C98" s="80" t="b">
        <f t="shared" si="30"/>
        <v>1</v>
      </c>
      <c r="D98" s="79" t="s">
        <v>641</v>
      </c>
      <c r="E98" s="81">
        <f t="shared" si="31"/>
        <v>0.02</v>
      </c>
      <c r="F98" s="81">
        <v>0.7</v>
      </c>
      <c r="G98" s="81" t="s">
        <v>105</v>
      </c>
      <c r="H98" s="82" t="s">
        <v>220</v>
      </c>
      <c r="I98" s="82" t="s">
        <v>105</v>
      </c>
      <c r="J98" s="81">
        <f t="shared" si="20"/>
        <v>0</v>
      </c>
      <c r="K98" s="81" t="s">
        <v>105</v>
      </c>
      <c r="L98" s="83">
        <f t="shared" si="32"/>
        <v>10</v>
      </c>
      <c r="M98" s="83">
        <f t="shared" si="33"/>
        <v>0.5</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25">
      <c r="A99" s="1">
        <v>97</v>
      </c>
      <c r="B99" s="80" t="b">
        <f t="shared" si="30"/>
        <v>1</v>
      </c>
      <c r="C99" s="80" t="b">
        <f t="shared" si="30"/>
        <v>1</v>
      </c>
      <c r="D99" s="79" t="s">
        <v>642</v>
      </c>
      <c r="E99" s="81">
        <f t="shared" si="31"/>
        <v>0.02</v>
      </c>
      <c r="F99" s="81">
        <v>0.5</v>
      </c>
      <c r="G99" s="81" t="s">
        <v>105</v>
      </c>
      <c r="H99" s="82" t="s">
        <v>219</v>
      </c>
      <c r="I99" s="82" t="s">
        <v>105</v>
      </c>
      <c r="J99" s="81">
        <f t="shared" si="20"/>
        <v>0</v>
      </c>
      <c r="K99" s="81" t="s">
        <v>105</v>
      </c>
      <c r="L99" s="83">
        <f t="shared" si="32"/>
        <v>10</v>
      </c>
      <c r="M99" s="83">
        <f t="shared" si="33"/>
        <v>0.5</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25">
      <c r="A100" s="1">
        <v>98</v>
      </c>
      <c r="B100" s="80" t="b">
        <f t="shared" ref="B100:C140" si="34">inp_Un&gt;=110</f>
        <v>1</v>
      </c>
      <c r="C100" s="80" t="b">
        <f t="shared" si="34"/>
        <v>1</v>
      </c>
      <c r="D100" s="79" t="s">
        <v>643</v>
      </c>
      <c r="E100" s="81">
        <f t="shared" ref="E100:E130" si="35">inp_Uc/inp_Un</f>
        <v>0.02</v>
      </c>
      <c r="F100" s="81">
        <v>0.7</v>
      </c>
      <c r="G100" s="81" t="s">
        <v>105</v>
      </c>
      <c r="H100" s="83" t="s">
        <v>219</v>
      </c>
      <c r="I100" s="82" t="s">
        <v>21</v>
      </c>
      <c r="J100" s="81">
        <v>0.1</v>
      </c>
      <c r="K100" s="81" t="s">
        <v>105</v>
      </c>
      <c r="L100" s="83">
        <f>inp_scr_min</f>
        <v>10</v>
      </c>
      <c r="M100" s="83">
        <f>inp_xr_min</f>
        <v>0.5</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25">
      <c r="A101" s="1">
        <v>99</v>
      </c>
      <c r="B101" s="80" t="b">
        <f t="shared" si="34"/>
        <v>1</v>
      </c>
      <c r="C101" s="80" t="b">
        <f t="shared" si="34"/>
        <v>1</v>
      </c>
      <c r="D101" s="79" t="s">
        <v>644</v>
      </c>
      <c r="E101" s="81">
        <f t="shared" si="35"/>
        <v>0.02</v>
      </c>
      <c r="F101" s="81">
        <v>0.7</v>
      </c>
      <c r="G101" s="81" t="s">
        <v>105</v>
      </c>
      <c r="H101" s="83" t="s">
        <v>219</v>
      </c>
      <c r="I101" s="82" t="s">
        <v>110</v>
      </c>
      <c r="J101" s="81">
        <f t="shared" ref="J101:J109" si="36">inp_Uc/inp_Un</f>
        <v>0.02</v>
      </c>
      <c r="K101" s="81" t="s">
        <v>105</v>
      </c>
      <c r="L101" s="83">
        <f>inp_scr_min</f>
        <v>10</v>
      </c>
      <c r="M101" s="83">
        <f>inp_xr_min</f>
        <v>0.5</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25">
      <c r="A102" s="1">
        <v>100</v>
      </c>
      <c r="B102" s="80" t="b">
        <f t="shared" si="34"/>
        <v>1</v>
      </c>
      <c r="C102" s="80" t="b">
        <f t="shared" si="34"/>
        <v>1</v>
      </c>
      <c r="D102" s="79" t="s">
        <v>645</v>
      </c>
      <c r="E102" s="81">
        <f t="shared" si="35"/>
        <v>0.02</v>
      </c>
      <c r="F102" s="81">
        <v>0.7</v>
      </c>
      <c r="G102" s="81" t="s">
        <v>105</v>
      </c>
      <c r="H102" s="83" t="s">
        <v>219</v>
      </c>
      <c r="I102" s="82" t="s">
        <v>110</v>
      </c>
      <c r="J102" s="81">
        <f t="shared" si="36"/>
        <v>0.02</v>
      </c>
      <c r="K102" s="81" t="s">
        <v>105</v>
      </c>
      <c r="L102" s="83">
        <f>inp_scr_min</f>
        <v>10</v>
      </c>
      <c r="M102" s="83">
        <f>inp_xr_min</f>
        <v>0.5</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25">
      <c r="A103" s="1">
        <v>101</v>
      </c>
      <c r="B103" s="80" t="b">
        <f t="shared" si="34"/>
        <v>1</v>
      </c>
      <c r="C103" s="80" t="b">
        <f t="shared" si="34"/>
        <v>1</v>
      </c>
      <c r="D103" s="79" t="s">
        <v>646</v>
      </c>
      <c r="E103" s="81">
        <f t="shared" si="35"/>
        <v>0.02</v>
      </c>
      <c r="F103" s="81">
        <v>0.7</v>
      </c>
      <c r="G103" s="81" t="s">
        <v>105</v>
      </c>
      <c r="H103" s="83" t="s">
        <v>219</v>
      </c>
      <c r="I103" s="82" t="s">
        <v>110</v>
      </c>
      <c r="J103" s="81">
        <f t="shared" si="36"/>
        <v>0.02</v>
      </c>
      <c r="K103" s="81" t="s">
        <v>105</v>
      </c>
      <c r="L103" s="83">
        <f>inp_scr_tun</f>
        <v>20</v>
      </c>
      <c r="M103" s="83">
        <f>inp_xr_tun</f>
        <v>-100</v>
      </c>
      <c r="N103" s="83" t="s">
        <v>105</v>
      </c>
      <c r="O103" s="101">
        <v>25</v>
      </c>
      <c r="P103" s="89" t="s">
        <v>119</v>
      </c>
      <c r="Q103" s="89">
        <v>0</v>
      </c>
      <c r="R103" s="89">
        <f>inp_scr_min</f>
        <v>10</v>
      </c>
      <c r="S103" s="89">
        <f>inp_xr_min</f>
        <v>0.5</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25">
      <c r="A104" s="1">
        <v>102</v>
      </c>
      <c r="B104" s="80" t="b">
        <f t="shared" si="34"/>
        <v>1</v>
      </c>
      <c r="C104" s="80" t="b">
        <f t="shared" si="34"/>
        <v>1</v>
      </c>
      <c r="D104" s="79" t="s">
        <v>647</v>
      </c>
      <c r="E104" s="81">
        <f t="shared" si="35"/>
        <v>0.02</v>
      </c>
      <c r="F104" s="81">
        <v>0.7</v>
      </c>
      <c r="G104" s="81" t="s">
        <v>105</v>
      </c>
      <c r="H104" s="83" t="s">
        <v>219</v>
      </c>
      <c r="I104" s="82" t="s">
        <v>110</v>
      </c>
      <c r="J104" s="81">
        <f t="shared" si="36"/>
        <v>0.02</v>
      </c>
      <c r="K104" s="81" t="s">
        <v>105</v>
      </c>
      <c r="L104" s="83">
        <f>inp_scr_min</f>
        <v>10</v>
      </c>
      <c r="M104" s="83">
        <f>inp_xr_min</f>
        <v>0.5</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25">
      <c r="A105" s="1">
        <v>103</v>
      </c>
      <c r="B105" s="80" t="b">
        <f t="shared" si="34"/>
        <v>1</v>
      </c>
      <c r="C105" s="80" t="b">
        <f t="shared" si="34"/>
        <v>1</v>
      </c>
      <c r="D105" s="79" t="s">
        <v>648</v>
      </c>
      <c r="E105" s="81">
        <f t="shared" si="35"/>
        <v>0.02</v>
      </c>
      <c r="F105" s="81">
        <v>0.7</v>
      </c>
      <c r="G105" s="81" t="s">
        <v>105</v>
      </c>
      <c r="H105" s="83" t="s">
        <v>219</v>
      </c>
      <c r="I105" s="82" t="s">
        <v>110</v>
      </c>
      <c r="J105" s="81">
        <f t="shared" si="36"/>
        <v>0.02</v>
      </c>
      <c r="K105" s="81" t="s">
        <v>105</v>
      </c>
      <c r="L105" s="83">
        <v>-1</v>
      </c>
      <c r="M105" s="83">
        <v>0</v>
      </c>
      <c r="N105" s="83" t="s">
        <v>105</v>
      </c>
      <c r="O105" s="101">
        <v>25</v>
      </c>
      <c r="P105" s="89" t="s">
        <v>108</v>
      </c>
      <c r="Q105" s="89">
        <v>0</v>
      </c>
      <c r="R105" s="192">
        <v>0.2</v>
      </c>
      <c r="S105" s="89"/>
      <c r="T105" s="81" t="s">
        <v>108</v>
      </c>
      <c r="U105" s="81">
        <v>0.2</v>
      </c>
      <c r="V105" s="81">
        <f>sel_lvfrt_stop+0.01</f>
        <v>0.86</v>
      </c>
      <c r="W105" s="81"/>
      <c r="X105" s="89" t="s">
        <v>108</v>
      </c>
      <c r="Y105" s="89">
        <v>15</v>
      </c>
      <c r="Z105" s="89">
        <f>$E105</f>
        <v>0.02</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25">
      <c r="A106" s="1">
        <v>104</v>
      </c>
      <c r="B106" s="80" t="b">
        <f t="shared" si="34"/>
        <v>1</v>
      </c>
      <c r="C106" s="80" t="b">
        <f t="shared" si="34"/>
        <v>1</v>
      </c>
      <c r="D106" s="79" t="s">
        <v>649</v>
      </c>
      <c r="E106" s="81">
        <f t="shared" si="35"/>
        <v>0.02</v>
      </c>
      <c r="F106" s="81">
        <v>1</v>
      </c>
      <c r="G106" s="81" t="s">
        <v>105</v>
      </c>
      <c r="H106" s="83" t="s">
        <v>219</v>
      </c>
      <c r="I106" s="82" t="s">
        <v>110</v>
      </c>
      <c r="J106" s="81">
        <f t="shared" si="36"/>
        <v>0.02</v>
      </c>
      <c r="K106" s="239" t="s">
        <v>544</v>
      </c>
      <c r="L106" s="83">
        <f>inp_scr_min</f>
        <v>10</v>
      </c>
      <c r="M106" s="83">
        <f>inp_xr_min</f>
        <v>0.5</v>
      </c>
      <c r="N106" s="83" t="s">
        <v>105</v>
      </c>
      <c r="O106" s="101">
        <v>85</v>
      </c>
      <c r="P106" s="89" t="s">
        <v>109</v>
      </c>
      <c r="Q106" s="89">
        <v>0</v>
      </c>
      <c r="R106" s="192">
        <f>$J106*inp_Vdroop/100*0.5</f>
        <v>0.01</v>
      </c>
      <c r="S106" s="89"/>
      <c r="T106" s="81" t="s">
        <v>109</v>
      </c>
      <c r="U106" s="81">
        <v>7</v>
      </c>
      <c r="V106" s="81">
        <v>0</v>
      </c>
      <c r="W106" s="81"/>
      <c r="X106" s="89" t="s">
        <v>109</v>
      </c>
      <c r="Y106" s="89">
        <v>14</v>
      </c>
      <c r="Z106" s="89">
        <f>-$J106*inp_Vdroop/100*0.5</f>
        <v>-0.01</v>
      </c>
      <c r="AA106" s="89"/>
      <c r="AB106" s="81" t="s">
        <v>109</v>
      </c>
      <c r="AC106" s="81">
        <v>21</v>
      </c>
      <c r="AD106" s="81">
        <v>0</v>
      </c>
      <c r="AE106" s="81"/>
      <c r="AF106" s="89" t="s">
        <v>109</v>
      </c>
      <c r="AG106" s="89">
        <v>28</v>
      </c>
      <c r="AH106" s="89">
        <f>$J106*inp_Vdroop/100</f>
        <v>0.02</v>
      </c>
      <c r="AI106" s="89"/>
      <c r="AJ106" s="81" t="s">
        <v>109</v>
      </c>
      <c r="AK106" s="102">
        <v>35</v>
      </c>
      <c r="AL106" s="81">
        <v>0</v>
      </c>
      <c r="AM106" s="81"/>
      <c r="AN106" s="95" t="s">
        <v>109</v>
      </c>
      <c r="AO106" s="89">
        <v>42</v>
      </c>
      <c r="AP106" s="89">
        <f>-$J106*inp_Vdroop/100</f>
        <v>-0.02</v>
      </c>
      <c r="AQ106" s="89"/>
      <c r="AR106" s="81" t="s">
        <v>109</v>
      </c>
      <c r="AS106" s="102">
        <v>49</v>
      </c>
      <c r="AT106" s="81">
        <v>0</v>
      </c>
      <c r="AU106" s="81"/>
      <c r="AV106" s="95" t="s">
        <v>109</v>
      </c>
      <c r="AW106" s="89">
        <v>56</v>
      </c>
      <c r="AX106" s="89">
        <f>sel_uq_q0.33ue_umax-$E106</f>
        <v>1.0980000000000001</v>
      </c>
      <c r="AY106" s="89"/>
      <c r="AZ106" s="79" t="s">
        <v>109</v>
      </c>
      <c r="BA106" s="81">
        <v>63</v>
      </c>
      <c r="BB106" s="81">
        <v>0</v>
      </c>
      <c r="BC106" s="81"/>
      <c r="BD106" s="95" t="s">
        <v>109</v>
      </c>
      <c r="BE106" s="89">
        <v>70</v>
      </c>
      <c r="BF106" s="89">
        <f>(sel_uq_q0.33_umin-$E106)</f>
        <v>0.94799999999999995</v>
      </c>
      <c r="BG106" s="89"/>
      <c r="BH106" s="79" t="s">
        <v>109</v>
      </c>
      <c r="BI106" s="81">
        <v>77</v>
      </c>
      <c r="BJ106" s="81">
        <v>0</v>
      </c>
      <c r="BK106" s="197"/>
      <c r="BL106" s="95"/>
      <c r="BM106" s="89"/>
      <c r="BN106" s="89"/>
      <c r="BO106" s="89"/>
    </row>
    <row r="107" spans="1:67" x14ac:dyDescent="0.25">
      <c r="A107" s="1">
        <v>105</v>
      </c>
      <c r="B107" s="80" t="b">
        <f t="shared" si="34"/>
        <v>1</v>
      </c>
      <c r="C107" s="80" t="b">
        <f t="shared" si="34"/>
        <v>1</v>
      </c>
      <c r="D107" s="79" t="s">
        <v>650</v>
      </c>
      <c r="E107" s="81">
        <f t="shared" si="35"/>
        <v>0.02</v>
      </c>
      <c r="F107" s="81">
        <v>1</v>
      </c>
      <c r="G107" s="81" t="s">
        <v>105</v>
      </c>
      <c r="H107" s="83" t="s">
        <v>219</v>
      </c>
      <c r="I107" s="82" t="s">
        <v>110</v>
      </c>
      <c r="J107" s="81">
        <f t="shared" si="36"/>
        <v>0.02</v>
      </c>
      <c r="K107" s="239" t="s">
        <v>545</v>
      </c>
      <c r="L107" s="83">
        <f>inp_scr_min</f>
        <v>10</v>
      </c>
      <c r="M107" s="83">
        <f>inp_xr_min</f>
        <v>0.5</v>
      </c>
      <c r="N107" s="83" t="s">
        <v>105</v>
      </c>
      <c r="O107" s="101">
        <v>85</v>
      </c>
      <c r="P107" s="89" t="s">
        <v>109</v>
      </c>
      <c r="Q107" s="89">
        <v>0</v>
      </c>
      <c r="R107" s="192">
        <f>$J107*inp_Vdroop/100*0.5</f>
        <v>0.01</v>
      </c>
      <c r="S107" s="89"/>
      <c r="T107" s="81" t="s">
        <v>109</v>
      </c>
      <c r="U107" s="81">
        <v>7</v>
      </c>
      <c r="V107" s="81">
        <v>0</v>
      </c>
      <c r="W107" s="81"/>
      <c r="X107" s="89" t="s">
        <v>109</v>
      </c>
      <c r="Y107" s="89">
        <v>14</v>
      </c>
      <c r="Z107" s="89">
        <f>-$J107*inp_Vdroop/100*0.5</f>
        <v>-0.01</v>
      </c>
      <c r="AA107" s="89"/>
      <c r="AB107" s="81" t="s">
        <v>109</v>
      </c>
      <c r="AC107" s="81">
        <v>21</v>
      </c>
      <c r="AD107" s="81">
        <v>0</v>
      </c>
      <c r="AE107" s="81"/>
      <c r="AF107" s="89" t="s">
        <v>109</v>
      </c>
      <c r="AG107" s="89">
        <v>28</v>
      </c>
      <c r="AH107" s="89">
        <f>$J107*inp_Vdroop/100</f>
        <v>0.02</v>
      </c>
      <c r="AI107" s="89"/>
      <c r="AJ107" s="81" t="s">
        <v>109</v>
      </c>
      <c r="AK107" s="102">
        <v>35</v>
      </c>
      <c r="AL107" s="81">
        <v>0</v>
      </c>
      <c r="AM107" s="81"/>
      <c r="AN107" s="95" t="s">
        <v>109</v>
      </c>
      <c r="AO107" s="89">
        <v>42</v>
      </c>
      <c r="AP107" s="89">
        <f>-$J107*inp_Vdroop/100</f>
        <v>-0.02</v>
      </c>
      <c r="AQ107" s="89"/>
      <c r="AR107" s="81" t="s">
        <v>109</v>
      </c>
      <c r="AS107" s="102">
        <v>49</v>
      </c>
      <c r="AT107" s="81">
        <v>0</v>
      </c>
      <c r="AU107" s="81"/>
      <c r="AV107" s="95" t="s">
        <v>109</v>
      </c>
      <c r="AW107" s="89">
        <v>56</v>
      </c>
      <c r="AX107" s="89">
        <f>sel_uq_q0.33ue_umax-$E107</f>
        <v>1.0980000000000001</v>
      </c>
      <c r="AY107" s="89"/>
      <c r="AZ107" s="79" t="s">
        <v>109</v>
      </c>
      <c r="BA107" s="81">
        <v>63</v>
      </c>
      <c r="BB107" s="81">
        <v>0</v>
      </c>
      <c r="BC107" s="81"/>
      <c r="BD107" s="95" t="s">
        <v>109</v>
      </c>
      <c r="BE107" s="89">
        <v>70</v>
      </c>
      <c r="BF107" s="89">
        <f>(sel_uq_q0.33_umin-$E107)</f>
        <v>0.94799999999999995</v>
      </c>
      <c r="BG107" s="89"/>
      <c r="BH107" s="79" t="s">
        <v>109</v>
      </c>
      <c r="BI107" s="81">
        <v>77</v>
      </c>
      <c r="BJ107" s="81">
        <v>0</v>
      </c>
      <c r="BK107" s="197"/>
      <c r="BL107" s="95"/>
      <c r="BM107" s="89"/>
      <c r="BN107" s="89"/>
      <c r="BO107" s="89"/>
    </row>
    <row r="108" spans="1:67" x14ac:dyDescent="0.25">
      <c r="A108" s="1">
        <v>106</v>
      </c>
      <c r="B108" s="80" t="b">
        <f t="shared" si="34"/>
        <v>1</v>
      </c>
      <c r="C108" s="80" t="b">
        <f t="shared" si="34"/>
        <v>1</v>
      </c>
      <c r="D108" s="79" t="s">
        <v>651</v>
      </c>
      <c r="E108" s="81">
        <f t="shared" si="35"/>
        <v>0.02</v>
      </c>
      <c r="F108" s="81">
        <v>1</v>
      </c>
      <c r="G108" s="81" t="s">
        <v>105</v>
      </c>
      <c r="H108" s="83" t="s">
        <v>219</v>
      </c>
      <c r="I108" s="82" t="s">
        <v>110</v>
      </c>
      <c r="J108" s="81">
        <f t="shared" si="36"/>
        <v>0.02</v>
      </c>
      <c r="K108" s="239" t="s">
        <v>546</v>
      </c>
      <c r="L108" s="83">
        <f>inp_scr_min</f>
        <v>10</v>
      </c>
      <c r="M108" s="83">
        <f>inp_xr_min</f>
        <v>0.5</v>
      </c>
      <c r="N108" s="83" t="s">
        <v>105</v>
      </c>
      <c r="O108" s="101">
        <v>85</v>
      </c>
      <c r="P108" s="89" t="s">
        <v>109</v>
      </c>
      <c r="Q108" s="89">
        <v>0</v>
      </c>
      <c r="R108" s="192">
        <f>$J108*inp_Vdroop/100*0.5</f>
        <v>0.01</v>
      </c>
      <c r="S108" s="89"/>
      <c r="T108" s="81" t="s">
        <v>109</v>
      </c>
      <c r="U108" s="81">
        <v>7</v>
      </c>
      <c r="V108" s="81">
        <v>0</v>
      </c>
      <c r="W108" s="81"/>
      <c r="X108" s="89" t="s">
        <v>109</v>
      </c>
      <c r="Y108" s="89">
        <v>14</v>
      </c>
      <c r="Z108" s="89">
        <f>-$J108*inp_Vdroop/100*0.5</f>
        <v>-0.01</v>
      </c>
      <c r="AA108" s="89"/>
      <c r="AB108" s="81" t="s">
        <v>109</v>
      </c>
      <c r="AC108" s="81">
        <v>21</v>
      </c>
      <c r="AD108" s="81">
        <v>0</v>
      </c>
      <c r="AE108" s="81"/>
      <c r="AF108" s="89" t="s">
        <v>109</v>
      </c>
      <c r="AG108" s="89">
        <v>28</v>
      </c>
      <c r="AH108" s="89">
        <f>$J108*inp_Vdroop/100</f>
        <v>0.02</v>
      </c>
      <c r="AI108" s="89"/>
      <c r="AJ108" s="81" t="s">
        <v>109</v>
      </c>
      <c r="AK108" s="102">
        <v>35</v>
      </c>
      <c r="AL108" s="81">
        <v>0</v>
      </c>
      <c r="AM108" s="81"/>
      <c r="AN108" s="95" t="s">
        <v>109</v>
      </c>
      <c r="AO108" s="89">
        <v>42</v>
      </c>
      <c r="AP108" s="89">
        <f>-$J108*inp_Vdroop/100</f>
        <v>-0.02</v>
      </c>
      <c r="AQ108" s="89"/>
      <c r="AR108" s="81" t="s">
        <v>109</v>
      </c>
      <c r="AS108" s="102">
        <v>49</v>
      </c>
      <c r="AT108" s="81">
        <v>0</v>
      </c>
      <c r="AU108" s="81"/>
      <c r="AV108" s="95" t="s">
        <v>109</v>
      </c>
      <c r="AW108" s="89">
        <v>56</v>
      </c>
      <c r="AX108" s="89">
        <f>sel_uq_q0.33ue_umax-$E108</f>
        <v>1.0980000000000001</v>
      </c>
      <c r="AY108" s="89"/>
      <c r="AZ108" s="79" t="s">
        <v>109</v>
      </c>
      <c r="BA108" s="81">
        <v>63</v>
      </c>
      <c r="BB108" s="81">
        <v>0</v>
      </c>
      <c r="BC108" s="81"/>
      <c r="BD108" s="95" t="s">
        <v>109</v>
      </c>
      <c r="BE108" s="89">
        <v>70</v>
      </c>
      <c r="BF108" s="89">
        <f>(sel_uq_q0.33_umin-$E108)</f>
        <v>0.94799999999999995</v>
      </c>
      <c r="BG108" s="89"/>
      <c r="BH108" s="79" t="s">
        <v>109</v>
      </c>
      <c r="BI108" s="81">
        <v>77</v>
      </c>
      <c r="BJ108" s="81">
        <v>0</v>
      </c>
      <c r="BK108" s="197"/>
      <c r="BL108" s="95"/>
      <c r="BM108" s="89"/>
      <c r="BN108" s="89"/>
      <c r="BO108" s="89"/>
    </row>
    <row r="109" spans="1:67" x14ac:dyDescent="0.25">
      <c r="A109" s="1">
        <v>107</v>
      </c>
      <c r="B109" s="80" t="b">
        <f t="shared" si="34"/>
        <v>1</v>
      </c>
      <c r="C109" s="80" t="b">
        <f t="shared" si="34"/>
        <v>1</v>
      </c>
      <c r="D109" s="79" t="s">
        <v>652</v>
      </c>
      <c r="E109" s="81">
        <f t="shared" si="35"/>
        <v>0.02</v>
      </c>
      <c r="F109" s="81">
        <v>1</v>
      </c>
      <c r="G109" s="81" t="s">
        <v>105</v>
      </c>
      <c r="H109" s="83" t="s">
        <v>219</v>
      </c>
      <c r="I109" s="83" t="s">
        <v>110</v>
      </c>
      <c r="J109" s="81">
        <f t="shared" si="36"/>
        <v>0.02</v>
      </c>
      <c r="K109" s="81" t="s">
        <v>105</v>
      </c>
      <c r="L109" s="83">
        <v>-1</v>
      </c>
      <c r="M109" s="83">
        <v>0</v>
      </c>
      <c r="N109" s="83" t="s">
        <v>105</v>
      </c>
      <c r="O109" s="101"/>
      <c r="P109" s="89" t="s">
        <v>124</v>
      </c>
      <c r="Q109" s="89"/>
      <c r="R109" s="89" t="s">
        <v>496</v>
      </c>
      <c r="S109" s="89">
        <f>E109</f>
        <v>0.02</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25">
      <c r="A110" s="1">
        <v>108</v>
      </c>
      <c r="B110" s="80" t="b">
        <f t="shared" si="34"/>
        <v>1</v>
      </c>
      <c r="C110" s="80" t="b">
        <f t="shared" si="34"/>
        <v>1</v>
      </c>
      <c r="D110" s="79" t="s">
        <v>653</v>
      </c>
      <c r="E110" s="81">
        <f t="shared" si="35"/>
        <v>0.02</v>
      </c>
      <c r="F110" s="81">
        <v>1</v>
      </c>
      <c r="G110" s="81">
        <v>1</v>
      </c>
      <c r="H110" s="83" t="s">
        <v>219</v>
      </c>
      <c r="I110" s="82" t="s">
        <v>105</v>
      </c>
      <c r="J110" s="81">
        <f t="shared" ref="J110:J116" si="37">IF(inp_default="Q(U)",E110,IF(inp_default="PF",1,0))</f>
        <v>0</v>
      </c>
      <c r="K110" s="81" t="s">
        <v>105</v>
      </c>
      <c r="L110" s="83">
        <f t="shared" ref="L110:L111" si="38">inp_scr_min</f>
        <v>10</v>
      </c>
      <c r="M110" s="83">
        <f t="shared" ref="M110:M111" si="39">inp_xr_min</f>
        <v>0.5</v>
      </c>
      <c r="N110" s="83" t="s">
        <v>105</v>
      </c>
      <c r="O110" s="84">
        <v>20</v>
      </c>
      <c r="P110" s="89" t="s">
        <v>716</v>
      </c>
      <c r="Q110" s="89">
        <v>1</v>
      </c>
      <c r="R110" s="89">
        <v>0.75</v>
      </c>
      <c r="S110" s="89"/>
      <c r="T110" s="81" t="s">
        <v>716</v>
      </c>
      <c r="U110" s="81">
        <v>5</v>
      </c>
      <c r="V110" s="81">
        <v>0.25</v>
      </c>
      <c r="W110" s="81"/>
      <c r="X110" s="89" t="s">
        <v>716</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25">
      <c r="A111" s="1">
        <v>109</v>
      </c>
      <c r="B111" s="80" t="b">
        <f t="shared" si="34"/>
        <v>1</v>
      </c>
      <c r="C111" s="80" t="b">
        <f t="shared" si="34"/>
        <v>1</v>
      </c>
      <c r="D111" s="79" t="s">
        <v>724</v>
      </c>
      <c r="E111" s="81">
        <f t="shared" si="35"/>
        <v>0.02</v>
      </c>
      <c r="F111" s="81">
        <v>0.5</v>
      </c>
      <c r="G111" s="81">
        <v>0.5</v>
      </c>
      <c r="H111" s="83" t="s">
        <v>219</v>
      </c>
      <c r="I111" s="82" t="s">
        <v>105</v>
      </c>
      <c r="J111" s="81">
        <f t="shared" si="37"/>
        <v>0</v>
      </c>
      <c r="K111" s="81" t="s">
        <v>105</v>
      </c>
      <c r="L111" s="83">
        <f t="shared" si="38"/>
        <v>10</v>
      </c>
      <c r="M111" s="83">
        <f t="shared" si="39"/>
        <v>0.5</v>
      </c>
      <c r="N111" s="83" t="s">
        <v>105</v>
      </c>
      <c r="O111" s="84">
        <v>175</v>
      </c>
      <c r="P111" s="89" t="s">
        <v>106</v>
      </c>
      <c r="Q111" s="89">
        <v>0</v>
      </c>
      <c r="R111" s="89">
        <v>1</v>
      </c>
      <c r="S111" s="89">
        <v>0</v>
      </c>
      <c r="T111" s="81" t="s">
        <v>716</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25">
      <c r="A112" s="1">
        <v>110</v>
      </c>
      <c r="B112" s="80" t="b">
        <f t="shared" si="34"/>
        <v>1</v>
      </c>
      <c r="C112" s="80" t="b">
        <f t="shared" si="34"/>
        <v>1</v>
      </c>
      <c r="D112" s="79" t="s">
        <v>654</v>
      </c>
      <c r="E112" s="81">
        <f t="shared" ref="E112" si="40">inp_Uc/inp_Un</f>
        <v>0.02</v>
      </c>
      <c r="F112" s="81">
        <v>1</v>
      </c>
      <c r="G112" s="81" t="s">
        <v>105</v>
      </c>
      <c r="H112" s="83" t="s">
        <v>219</v>
      </c>
      <c r="I112" s="82" t="s">
        <v>105</v>
      </c>
      <c r="J112" s="81">
        <f t="shared" si="37"/>
        <v>0</v>
      </c>
      <c r="K112" s="81" t="s">
        <v>105</v>
      </c>
      <c r="L112" s="83">
        <f t="shared" ref="L112" si="41">inp_scr_min</f>
        <v>10</v>
      </c>
      <c r="M112" s="83">
        <f t="shared" ref="M112" si="42">inp_xr_min</f>
        <v>0.5</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25">
      <c r="A113" s="1">
        <v>111</v>
      </c>
      <c r="B113" s="80" t="b">
        <f t="shared" si="34"/>
        <v>1</v>
      </c>
      <c r="C113" s="80" t="b">
        <f t="shared" si="34"/>
        <v>1</v>
      </c>
      <c r="D113" s="79" t="s">
        <v>655</v>
      </c>
      <c r="E113" s="81">
        <f t="shared" si="35"/>
        <v>0.02</v>
      </c>
      <c r="F113" s="81">
        <v>0.7</v>
      </c>
      <c r="G113" s="81" t="s">
        <v>105</v>
      </c>
      <c r="H113" s="83" t="s">
        <v>219</v>
      </c>
      <c r="I113" s="82" t="s">
        <v>105</v>
      </c>
      <c r="J113" s="81">
        <f t="shared" si="37"/>
        <v>0</v>
      </c>
      <c r="K113" s="81" t="s">
        <v>105</v>
      </c>
      <c r="L113" s="83">
        <f t="shared" ref="L113:L116" si="43">inp_scr_min</f>
        <v>10</v>
      </c>
      <c r="M113" s="83">
        <f t="shared" ref="M113:M116" si="44">inp_xr_min</f>
        <v>0.5</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25">
      <c r="A114" s="1">
        <v>112</v>
      </c>
      <c r="B114" s="80" t="b">
        <f t="shared" si="34"/>
        <v>1</v>
      </c>
      <c r="C114" s="80" t="b">
        <f t="shared" si="34"/>
        <v>1</v>
      </c>
      <c r="D114" s="79" t="s">
        <v>656</v>
      </c>
      <c r="E114" s="81">
        <f t="shared" si="35"/>
        <v>0.02</v>
      </c>
      <c r="F114" s="81">
        <v>0.7</v>
      </c>
      <c r="G114" s="81" t="s">
        <v>105</v>
      </c>
      <c r="H114" s="83" t="s">
        <v>219</v>
      </c>
      <c r="I114" s="82" t="s">
        <v>105</v>
      </c>
      <c r="J114" s="81">
        <f t="shared" si="37"/>
        <v>0</v>
      </c>
      <c r="K114" s="81" t="s">
        <v>105</v>
      </c>
      <c r="L114" s="83">
        <f t="shared" si="43"/>
        <v>10</v>
      </c>
      <c r="M114" s="83">
        <f t="shared" si="44"/>
        <v>0.5</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25">
      <c r="A115" s="1">
        <v>113</v>
      </c>
      <c r="B115" s="80" t="b">
        <f t="shared" si="34"/>
        <v>1</v>
      </c>
      <c r="C115" s="80" t="b">
        <f t="shared" si="34"/>
        <v>1</v>
      </c>
      <c r="D115" s="79" t="s">
        <v>657</v>
      </c>
      <c r="E115" s="81">
        <f t="shared" si="35"/>
        <v>0.02</v>
      </c>
      <c r="F115" s="81">
        <v>0.7</v>
      </c>
      <c r="G115" s="81" t="s">
        <v>105</v>
      </c>
      <c r="H115" s="83" t="s">
        <v>219</v>
      </c>
      <c r="I115" s="82" t="s">
        <v>105</v>
      </c>
      <c r="J115" s="81">
        <f t="shared" si="37"/>
        <v>0</v>
      </c>
      <c r="K115" s="81" t="s">
        <v>105</v>
      </c>
      <c r="L115" s="83">
        <f t="shared" si="43"/>
        <v>10</v>
      </c>
      <c r="M115" s="83">
        <f t="shared" si="44"/>
        <v>0.5</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25">
      <c r="A116" s="1">
        <v>114</v>
      </c>
      <c r="B116" s="80" t="b">
        <f t="shared" si="34"/>
        <v>1</v>
      </c>
      <c r="C116" s="80" t="b">
        <f t="shared" si="34"/>
        <v>1</v>
      </c>
      <c r="D116" s="79" t="s">
        <v>658</v>
      </c>
      <c r="E116" s="81">
        <f t="shared" si="35"/>
        <v>0.02</v>
      </c>
      <c r="F116" s="81">
        <v>0.7</v>
      </c>
      <c r="G116" s="81" t="s">
        <v>105</v>
      </c>
      <c r="H116" s="83" t="s">
        <v>219</v>
      </c>
      <c r="I116" s="82" t="s">
        <v>105</v>
      </c>
      <c r="J116" s="81">
        <f t="shared" si="37"/>
        <v>0</v>
      </c>
      <c r="K116" s="81" t="s">
        <v>105</v>
      </c>
      <c r="L116" s="83">
        <f t="shared" si="43"/>
        <v>10</v>
      </c>
      <c r="M116" s="83">
        <f t="shared" si="44"/>
        <v>0.5</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25">
      <c r="A117" s="1">
        <v>115</v>
      </c>
      <c r="B117" s="80" t="b">
        <f t="shared" si="34"/>
        <v>1</v>
      </c>
      <c r="C117" s="80" t="b">
        <f t="shared" si="34"/>
        <v>1</v>
      </c>
      <c r="D117" s="79" t="s">
        <v>659</v>
      </c>
      <c r="E117" s="81">
        <f t="shared" si="35"/>
        <v>0.02</v>
      </c>
      <c r="F117" s="81">
        <v>1</v>
      </c>
      <c r="G117" s="81" t="s">
        <v>105</v>
      </c>
      <c r="H117" s="83" t="s">
        <v>219</v>
      </c>
      <c r="I117" s="82" t="str">
        <f t="shared" ref="I117:I130" si="45">IF(inp_default="Q(U)","Q",IF(inp_default="Q","Q(U)",0))</f>
        <v>Q(U)</v>
      </c>
      <c r="J117" s="81">
        <f>IF(inp_default="Q",E117,IF(inp_default="PF",1,0))</f>
        <v>0.02</v>
      </c>
      <c r="K117" s="81" t="s">
        <v>105</v>
      </c>
      <c r="L117" s="83">
        <f t="shared" ref="L117:L130" si="46">inp_scr_min</f>
        <v>10</v>
      </c>
      <c r="M117" s="83">
        <f t="shared" ref="M117:M130" si="47">inp_xr_min</f>
        <v>0.5</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25">
      <c r="A118" s="1">
        <v>116</v>
      </c>
      <c r="B118" s="80" t="b">
        <f t="shared" si="34"/>
        <v>1</v>
      </c>
      <c r="C118" s="80" t="b">
        <f t="shared" si="34"/>
        <v>1</v>
      </c>
      <c r="D118" s="79" t="s">
        <v>660</v>
      </c>
      <c r="E118" s="81">
        <f t="shared" si="35"/>
        <v>0.02</v>
      </c>
      <c r="F118" s="81">
        <v>1</v>
      </c>
      <c r="G118" s="81" t="s">
        <v>105</v>
      </c>
      <c r="H118" s="83" t="s">
        <v>219</v>
      </c>
      <c r="I118" s="82" t="str">
        <f t="shared" si="45"/>
        <v>Q(U)</v>
      </c>
      <c r="J118" s="81">
        <f>IF(inp_default="Q",E118,IF(inp_default="PF",1,0))</f>
        <v>0.02</v>
      </c>
      <c r="K118" s="81" t="s">
        <v>105</v>
      </c>
      <c r="L118" s="83">
        <f t="shared" si="46"/>
        <v>10</v>
      </c>
      <c r="M118" s="83">
        <f t="shared" si="47"/>
        <v>0.5</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25">
      <c r="A119" s="1">
        <v>117</v>
      </c>
      <c r="B119" s="80" t="b">
        <f t="shared" si="34"/>
        <v>1</v>
      </c>
      <c r="C119" s="80" t="b">
        <f t="shared" si="34"/>
        <v>1</v>
      </c>
      <c r="D119" s="79" t="s">
        <v>661</v>
      </c>
      <c r="E119" s="81">
        <f t="shared" si="35"/>
        <v>0.02</v>
      </c>
      <c r="F119" s="81">
        <v>1</v>
      </c>
      <c r="G119" s="81" t="s">
        <v>105</v>
      </c>
      <c r="H119" s="83" t="s">
        <v>219</v>
      </c>
      <c r="I119" s="82" t="str">
        <f t="shared" si="45"/>
        <v>Q(U)</v>
      </c>
      <c r="J119" s="81">
        <f>IF(inp_default="Q",E119,IF(inp_default="PF",1,0))</f>
        <v>0.02</v>
      </c>
      <c r="K119" s="81" t="s">
        <v>105</v>
      </c>
      <c r="L119" s="83">
        <f t="shared" si="46"/>
        <v>10</v>
      </c>
      <c r="M119" s="83">
        <f t="shared" si="47"/>
        <v>0.5</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25">
      <c r="A120" s="1">
        <v>118</v>
      </c>
      <c r="B120" s="80" t="b">
        <f t="shared" si="34"/>
        <v>1</v>
      </c>
      <c r="C120" s="80" t="b">
        <f t="shared" si="34"/>
        <v>1</v>
      </c>
      <c r="D120" s="79" t="s">
        <v>662</v>
      </c>
      <c r="E120" s="81">
        <f t="shared" si="35"/>
        <v>0.02</v>
      </c>
      <c r="F120" s="81">
        <v>1</v>
      </c>
      <c r="G120" s="81" t="s">
        <v>105</v>
      </c>
      <c r="H120" s="83" t="s">
        <v>219</v>
      </c>
      <c r="I120" s="82" t="str">
        <f t="shared" si="45"/>
        <v>Q(U)</v>
      </c>
      <c r="J120" s="81">
        <f t="shared" ref="J120" si="49">IF(inp_default="Q",E120,IF(inp_default="PF",1,0))</f>
        <v>0.02</v>
      </c>
      <c r="K120" s="81" t="s">
        <v>105</v>
      </c>
      <c r="L120" s="83">
        <f t="shared" si="46"/>
        <v>10</v>
      </c>
      <c r="M120" s="83">
        <f t="shared" si="47"/>
        <v>0.5</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25">
      <c r="A121" s="1">
        <v>119</v>
      </c>
      <c r="B121" s="80" t="b">
        <f t="shared" si="34"/>
        <v>1</v>
      </c>
      <c r="C121" s="80" t="b">
        <f t="shared" si="34"/>
        <v>1</v>
      </c>
      <c r="D121" s="79" t="s">
        <v>663</v>
      </c>
      <c r="E121" s="81">
        <f t="shared" si="35"/>
        <v>0.02</v>
      </c>
      <c r="F121" s="81">
        <v>1</v>
      </c>
      <c r="G121" s="81" t="s">
        <v>105</v>
      </c>
      <c r="H121" s="83" t="s">
        <v>219</v>
      </c>
      <c r="I121" s="82" t="str">
        <f t="shared" si="45"/>
        <v>Q(U)</v>
      </c>
      <c r="J121" s="81">
        <f>IF(inp_default="Q",E121,IF(inp_default="PF",1,0))</f>
        <v>0.02</v>
      </c>
      <c r="K121" s="81" t="s">
        <v>105</v>
      </c>
      <c r="L121" s="83">
        <f t="shared" si="46"/>
        <v>10</v>
      </c>
      <c r="M121" s="83">
        <f t="shared" si="47"/>
        <v>0.5</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25">
      <c r="A122" s="1">
        <v>120</v>
      </c>
      <c r="B122" s="80" t="b">
        <f t="shared" si="34"/>
        <v>1</v>
      </c>
      <c r="C122" s="80" t="b">
        <f t="shared" si="34"/>
        <v>1</v>
      </c>
      <c r="D122" s="79" t="s">
        <v>664</v>
      </c>
      <c r="E122" s="81">
        <f t="shared" si="35"/>
        <v>0.02</v>
      </c>
      <c r="F122" s="81">
        <v>1</v>
      </c>
      <c r="G122" s="81" t="s">
        <v>105</v>
      </c>
      <c r="H122" s="83" t="s">
        <v>219</v>
      </c>
      <c r="I122" s="82" t="str">
        <f t="shared" si="45"/>
        <v>Q(U)</v>
      </c>
      <c r="J122" s="81">
        <f>IF(inp_default="Q",E122,IF(inp_default="PF",1,0))</f>
        <v>0.02</v>
      </c>
      <c r="K122" s="81" t="s">
        <v>105</v>
      </c>
      <c r="L122" s="83">
        <f t="shared" si="46"/>
        <v>10</v>
      </c>
      <c r="M122" s="83">
        <f t="shared" si="47"/>
        <v>0.5</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25">
      <c r="A123" s="1">
        <v>121</v>
      </c>
      <c r="B123" s="80" t="b">
        <f t="shared" si="34"/>
        <v>1</v>
      </c>
      <c r="C123" s="80" t="b">
        <f t="shared" si="34"/>
        <v>1</v>
      </c>
      <c r="D123" s="79" t="s">
        <v>665</v>
      </c>
      <c r="E123" s="81">
        <f t="shared" si="35"/>
        <v>0.02</v>
      </c>
      <c r="F123" s="81">
        <v>1</v>
      </c>
      <c r="G123" s="81" t="s">
        <v>105</v>
      </c>
      <c r="H123" s="83" t="s">
        <v>219</v>
      </c>
      <c r="I123" s="82" t="str">
        <f t="shared" si="45"/>
        <v>Q(U)</v>
      </c>
      <c r="J123" s="81">
        <f t="shared" ref="J123:J124" si="50">IF(inp_default="Q",E123,IF(inp_default="PF",1,0))</f>
        <v>0.02</v>
      </c>
      <c r="K123" s="81" t="s">
        <v>105</v>
      </c>
      <c r="L123" s="83">
        <f t="shared" si="46"/>
        <v>10</v>
      </c>
      <c r="M123" s="83">
        <f t="shared" si="47"/>
        <v>0.5</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25">
      <c r="A124" s="1">
        <v>122</v>
      </c>
      <c r="B124" s="80" t="b">
        <f t="shared" si="34"/>
        <v>1</v>
      </c>
      <c r="C124" s="80" t="b">
        <f t="shared" si="34"/>
        <v>1</v>
      </c>
      <c r="D124" s="79" t="s">
        <v>666</v>
      </c>
      <c r="E124" s="81">
        <f t="shared" si="35"/>
        <v>0.02</v>
      </c>
      <c r="F124" s="81">
        <v>1</v>
      </c>
      <c r="G124" s="81" t="s">
        <v>105</v>
      </c>
      <c r="H124" s="83" t="s">
        <v>219</v>
      </c>
      <c r="I124" s="82" t="str">
        <f t="shared" si="45"/>
        <v>Q(U)</v>
      </c>
      <c r="J124" s="81">
        <f t="shared" si="50"/>
        <v>0.02</v>
      </c>
      <c r="K124" s="81" t="s">
        <v>105</v>
      </c>
      <c r="L124" s="83">
        <f t="shared" si="46"/>
        <v>10</v>
      </c>
      <c r="M124" s="83">
        <f t="shared" si="47"/>
        <v>0.5</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25">
      <c r="A125" s="1">
        <v>123</v>
      </c>
      <c r="B125" s="80" t="b">
        <f t="shared" si="34"/>
        <v>1</v>
      </c>
      <c r="C125" s="80" t="b">
        <f t="shared" si="34"/>
        <v>1</v>
      </c>
      <c r="D125" s="79" t="s">
        <v>667</v>
      </c>
      <c r="E125" s="81">
        <f t="shared" si="35"/>
        <v>0.02</v>
      </c>
      <c r="F125" s="81">
        <v>1</v>
      </c>
      <c r="G125" s="81" t="s">
        <v>105</v>
      </c>
      <c r="H125" s="83" t="s">
        <v>219</v>
      </c>
      <c r="I125" s="82" t="str">
        <f t="shared" si="45"/>
        <v>Q(U)</v>
      </c>
      <c r="J125" s="81">
        <f t="shared" ref="J125" si="51">IF(inp_default="Q",E125,IF(inp_default="PF",1,0))</f>
        <v>0.02</v>
      </c>
      <c r="K125" s="81" t="s">
        <v>105</v>
      </c>
      <c r="L125" s="83">
        <f t="shared" si="46"/>
        <v>10</v>
      </c>
      <c r="M125" s="83">
        <f t="shared" si="47"/>
        <v>0.5</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25">
      <c r="A126" s="1">
        <v>124</v>
      </c>
      <c r="B126" s="80" t="b">
        <f t="shared" si="34"/>
        <v>1</v>
      </c>
      <c r="C126" s="80" t="b">
        <f t="shared" si="34"/>
        <v>1</v>
      </c>
      <c r="D126" s="79" t="s">
        <v>668</v>
      </c>
      <c r="E126" s="81">
        <f t="shared" si="35"/>
        <v>0.02</v>
      </c>
      <c r="F126" s="81">
        <v>1</v>
      </c>
      <c r="G126" s="81" t="s">
        <v>105</v>
      </c>
      <c r="H126" s="83" t="s">
        <v>219</v>
      </c>
      <c r="I126" s="82" t="str">
        <f t="shared" si="45"/>
        <v>Q(U)</v>
      </c>
      <c r="J126" s="81">
        <f t="shared" ref="J126:J128" si="52">IF(inp_default="Q",E126,IF(inp_default="PF",1,0))</f>
        <v>0.02</v>
      </c>
      <c r="K126" s="81" t="s">
        <v>105</v>
      </c>
      <c r="L126" s="83">
        <f t="shared" si="46"/>
        <v>10</v>
      </c>
      <c r="M126" s="83">
        <f t="shared" si="47"/>
        <v>0.5</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25">
      <c r="A127" s="1">
        <v>125</v>
      </c>
      <c r="B127" s="80" t="b">
        <f t="shared" si="34"/>
        <v>1</v>
      </c>
      <c r="C127" s="80" t="b">
        <f t="shared" si="34"/>
        <v>1</v>
      </c>
      <c r="D127" s="79" t="s">
        <v>669</v>
      </c>
      <c r="E127" s="81">
        <f t="shared" si="35"/>
        <v>0.02</v>
      </c>
      <c r="F127" s="81">
        <v>1</v>
      </c>
      <c r="G127" s="81" t="s">
        <v>105</v>
      </c>
      <c r="H127" s="83" t="s">
        <v>219</v>
      </c>
      <c r="I127" s="82" t="str">
        <f t="shared" si="45"/>
        <v>Q(U)</v>
      </c>
      <c r="J127" s="81">
        <f t="shared" si="52"/>
        <v>0.02</v>
      </c>
      <c r="K127" s="81" t="s">
        <v>105</v>
      </c>
      <c r="L127" s="83">
        <f t="shared" si="46"/>
        <v>10</v>
      </c>
      <c r="M127" s="83">
        <f t="shared" si="47"/>
        <v>0.5</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25">
      <c r="A128" s="1">
        <v>126</v>
      </c>
      <c r="B128" s="80" t="b">
        <f t="shared" si="34"/>
        <v>1</v>
      </c>
      <c r="C128" s="80" t="b">
        <f t="shared" si="34"/>
        <v>1</v>
      </c>
      <c r="D128" s="79" t="s">
        <v>670</v>
      </c>
      <c r="E128" s="81">
        <f t="shared" si="35"/>
        <v>0.02</v>
      </c>
      <c r="F128" s="81">
        <v>1</v>
      </c>
      <c r="G128" s="81" t="s">
        <v>105</v>
      </c>
      <c r="H128" s="83" t="s">
        <v>219</v>
      </c>
      <c r="I128" s="82" t="str">
        <f t="shared" si="45"/>
        <v>Q(U)</v>
      </c>
      <c r="J128" s="81">
        <f t="shared" si="52"/>
        <v>0.02</v>
      </c>
      <c r="K128" s="81" t="s">
        <v>105</v>
      </c>
      <c r="L128" s="83">
        <f t="shared" si="46"/>
        <v>10</v>
      </c>
      <c r="M128" s="83">
        <f t="shared" si="47"/>
        <v>0.5</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25">
      <c r="A129" s="1">
        <v>127</v>
      </c>
      <c r="B129" s="80" t="b">
        <f t="shared" si="34"/>
        <v>1</v>
      </c>
      <c r="C129" s="80" t="b">
        <f t="shared" si="34"/>
        <v>1</v>
      </c>
      <c r="D129" s="79" t="s">
        <v>671</v>
      </c>
      <c r="E129" s="81">
        <f t="shared" si="35"/>
        <v>0.02</v>
      </c>
      <c r="F129" s="81">
        <v>1</v>
      </c>
      <c r="G129" s="81" t="s">
        <v>105</v>
      </c>
      <c r="H129" s="83" t="s">
        <v>219</v>
      </c>
      <c r="I129" s="82" t="str">
        <f t="shared" si="45"/>
        <v>Q(U)</v>
      </c>
      <c r="J129" s="81">
        <f t="shared" ref="J129" si="53">IF(inp_default="Q",E129,IF(inp_default="PF",1,0))</f>
        <v>0.02</v>
      </c>
      <c r="K129" s="81" t="s">
        <v>105</v>
      </c>
      <c r="L129" s="83">
        <f t="shared" si="46"/>
        <v>10</v>
      </c>
      <c r="M129" s="83">
        <f t="shared" si="47"/>
        <v>0.5</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25">
      <c r="A130" s="1">
        <v>128</v>
      </c>
      <c r="B130" s="80" t="b">
        <f t="shared" si="34"/>
        <v>1</v>
      </c>
      <c r="C130" s="80" t="b">
        <f t="shared" si="34"/>
        <v>1</v>
      </c>
      <c r="D130" s="79" t="s">
        <v>672</v>
      </c>
      <c r="E130" s="81">
        <f t="shared" si="35"/>
        <v>0.02</v>
      </c>
      <c r="F130" s="81">
        <v>1</v>
      </c>
      <c r="G130" s="81" t="s">
        <v>105</v>
      </c>
      <c r="H130" s="83" t="s">
        <v>219</v>
      </c>
      <c r="I130" s="82" t="str">
        <f t="shared" si="45"/>
        <v>Q(U)</v>
      </c>
      <c r="J130" s="81">
        <f t="shared" ref="J130" si="54">IF(inp_default="Q",E130,IF(inp_default="PF",1,0))</f>
        <v>0.02</v>
      </c>
      <c r="K130" s="81" t="s">
        <v>105</v>
      </c>
      <c r="L130" s="83">
        <f t="shared" si="46"/>
        <v>10</v>
      </c>
      <c r="M130" s="83">
        <f t="shared" si="47"/>
        <v>0.5</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25">
      <c r="A131" s="1">
        <v>129</v>
      </c>
      <c r="B131" s="80" t="b">
        <f t="shared" si="34"/>
        <v>1</v>
      </c>
      <c r="C131" s="80" t="b">
        <f t="shared" si="34"/>
        <v>1</v>
      </c>
      <c r="D131" s="79" t="s">
        <v>673</v>
      </c>
      <c r="E131" s="81">
        <f t="shared" ref="E131:E143" si="55">inp_Uc/inp_Un</f>
        <v>0.02</v>
      </c>
      <c r="F131" s="81">
        <v>1</v>
      </c>
      <c r="G131" s="81" t="s">
        <v>105</v>
      </c>
      <c r="H131" s="83" t="s">
        <v>219</v>
      </c>
      <c r="I131" s="83" t="str">
        <f>IF(inp_default="Q(U)","Q", "Q(U)")</f>
        <v>Q(U)</v>
      </c>
      <c r="J131" s="81">
        <f>IF(inp_default="Q",E131,IF(inp_default="PF",1,0))</f>
        <v>0.02</v>
      </c>
      <c r="K131" s="81" t="s">
        <v>105</v>
      </c>
      <c r="L131" s="83">
        <f>inp_scr_tun</f>
        <v>20</v>
      </c>
      <c r="M131" s="83">
        <f>inp_xr_tun</f>
        <v>-100</v>
      </c>
      <c r="N131" s="83" t="s">
        <v>105</v>
      </c>
      <c r="O131" s="84">
        <v>15</v>
      </c>
      <c r="P131" s="89" t="s">
        <v>115</v>
      </c>
      <c r="Q131" s="89">
        <v>0</v>
      </c>
      <c r="R131" s="93">
        <v>0.05</v>
      </c>
      <c r="S131" s="89">
        <v>0.15</v>
      </c>
      <c r="T131" s="81" t="s">
        <v>119</v>
      </c>
      <c r="U131" s="81">
        <f>Q131+S131-0.001</f>
        <v>0.14899999999999999</v>
      </c>
      <c r="V131" s="81">
        <f>inp_scr_min</f>
        <v>10</v>
      </c>
      <c r="W131" s="81">
        <f>inp_xr_min</f>
        <v>0.5</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25">
      <c r="A132" s="1">
        <v>130</v>
      </c>
      <c r="B132" s="80" t="b">
        <f t="shared" si="34"/>
        <v>1</v>
      </c>
      <c r="C132" s="80" t="b">
        <f t="shared" si="34"/>
        <v>1</v>
      </c>
      <c r="D132" s="79" t="s">
        <v>674</v>
      </c>
      <c r="E132" s="81">
        <f t="shared" si="55"/>
        <v>0.02</v>
      </c>
      <c r="F132" s="81">
        <v>1</v>
      </c>
      <c r="G132" s="81" t="s">
        <v>105</v>
      </c>
      <c r="H132" s="83" t="s">
        <v>219</v>
      </c>
      <c r="I132" s="83" t="str">
        <f>IF(inp_default="Q(U)","Q", "Q(U)")</f>
        <v>Q(U)</v>
      </c>
      <c r="J132" s="81">
        <f>IF(inp_default="Q",E132,IF(inp_default="PF",1,0))</f>
        <v>0.02</v>
      </c>
      <c r="K132" s="81" t="s">
        <v>105</v>
      </c>
      <c r="L132" s="83">
        <f>inp_scr_tun</f>
        <v>20</v>
      </c>
      <c r="M132" s="83">
        <f>inp_xr_tun</f>
        <v>-100</v>
      </c>
      <c r="N132" s="83" t="s">
        <v>105</v>
      </c>
      <c r="O132" s="84">
        <v>15</v>
      </c>
      <c r="P132" s="89" t="s">
        <v>118</v>
      </c>
      <c r="Q132" s="89">
        <v>0</v>
      </c>
      <c r="R132" s="93">
        <v>0.1</v>
      </c>
      <c r="S132" s="89">
        <v>0.15</v>
      </c>
      <c r="T132" s="81" t="s">
        <v>119</v>
      </c>
      <c r="U132" s="81">
        <f>Q132+S132-0.001</f>
        <v>0.14899999999999999</v>
      </c>
      <c r="V132" s="81">
        <f>inp_scr_min</f>
        <v>10</v>
      </c>
      <c r="W132" s="81">
        <f>inp_xr_min</f>
        <v>0.5</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25">
      <c r="A133" s="1">
        <v>131</v>
      </c>
      <c r="B133" s="80" t="b">
        <f t="shared" si="34"/>
        <v>1</v>
      </c>
      <c r="C133" s="80" t="b">
        <f t="shared" si="34"/>
        <v>1</v>
      </c>
      <c r="D133" s="79" t="s">
        <v>675</v>
      </c>
      <c r="E133" s="81">
        <f t="shared" si="55"/>
        <v>0.02</v>
      </c>
      <c r="F133" s="81">
        <v>1</v>
      </c>
      <c r="G133" s="81" t="s">
        <v>105</v>
      </c>
      <c r="H133" s="83" t="s">
        <v>219</v>
      </c>
      <c r="I133" s="82" t="str">
        <f t="shared" ref="I133" si="56">IF(inp_default="Q(U)","Q",IF(inp_default="Q","Q(U)",0))</f>
        <v>Q(U)</v>
      </c>
      <c r="J133" s="81">
        <f t="shared" ref="J133" si="57">IF(inp_default="Q",E133,IF(inp_default="PF",1,0))</f>
        <v>0.02</v>
      </c>
      <c r="K133" s="81" t="s">
        <v>105</v>
      </c>
      <c r="L133" s="83">
        <f t="shared" ref="L133:L136" si="58">inp_scr_min</f>
        <v>10</v>
      </c>
      <c r="M133" s="83">
        <f t="shared" ref="M133:M136" si="59">inp_xr_min</f>
        <v>0.5</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25">
      <c r="A134" s="1">
        <v>132</v>
      </c>
      <c r="B134" s="80" t="b">
        <f t="shared" si="34"/>
        <v>1</v>
      </c>
      <c r="C134" s="80" t="b">
        <f t="shared" si="34"/>
        <v>1</v>
      </c>
      <c r="D134" s="79" t="s">
        <v>676</v>
      </c>
      <c r="E134" s="81">
        <f t="shared" si="55"/>
        <v>0.02</v>
      </c>
      <c r="F134" s="81">
        <v>1</v>
      </c>
      <c r="G134" s="81" t="s">
        <v>105</v>
      </c>
      <c r="H134" s="83" t="s">
        <v>219</v>
      </c>
      <c r="I134" s="82" t="s">
        <v>105</v>
      </c>
      <c r="J134" s="81">
        <f>IF(inp_default="Q(U)",inp_Uc/inp_Un,IF(inp_default="PF",1,0))</f>
        <v>0</v>
      </c>
      <c r="K134" s="81" t="s">
        <v>105</v>
      </c>
      <c r="L134" s="83">
        <f t="shared" si="58"/>
        <v>10</v>
      </c>
      <c r="M134" s="83">
        <f t="shared" si="59"/>
        <v>0.5</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25">
      <c r="A135" s="1">
        <v>133</v>
      </c>
      <c r="B135" s="80" t="b">
        <f t="shared" si="34"/>
        <v>1</v>
      </c>
      <c r="C135" s="80" t="b">
        <f t="shared" si="34"/>
        <v>1</v>
      </c>
      <c r="D135" s="79" t="s">
        <v>677</v>
      </c>
      <c r="E135" s="81">
        <f t="shared" si="55"/>
        <v>0.02</v>
      </c>
      <c r="F135" s="81">
        <v>1</v>
      </c>
      <c r="G135" s="81" t="s">
        <v>105</v>
      </c>
      <c r="H135" s="83" t="s">
        <v>219</v>
      </c>
      <c r="I135" s="82" t="s">
        <v>105</v>
      </c>
      <c r="J135" s="81">
        <f>IF(inp_default="Q(U)",inp_Uc/inp_Un,IF(inp_default="PF",1,0))</f>
        <v>0</v>
      </c>
      <c r="K135" s="81" t="s">
        <v>105</v>
      </c>
      <c r="L135" s="83">
        <f t="shared" si="58"/>
        <v>10</v>
      </c>
      <c r="M135" s="83">
        <f t="shared" si="59"/>
        <v>0.5</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25">
      <c r="A136" s="1">
        <v>134</v>
      </c>
      <c r="B136" s="80" t="b">
        <f t="shared" si="34"/>
        <v>1</v>
      </c>
      <c r="C136" s="80" t="b">
        <f t="shared" si="34"/>
        <v>1</v>
      </c>
      <c r="D136" s="79" t="s">
        <v>678</v>
      </c>
      <c r="E136" s="81">
        <f t="shared" si="55"/>
        <v>0.02</v>
      </c>
      <c r="F136" s="81">
        <v>1</v>
      </c>
      <c r="G136" s="81" t="s">
        <v>105</v>
      </c>
      <c r="H136" s="83" t="s">
        <v>219</v>
      </c>
      <c r="I136" s="82" t="str">
        <f t="shared" ref="I136" si="60">IF(inp_default="Q(U)","Q",IF(inp_default="Q","Q(U)",0))</f>
        <v>Q(U)</v>
      </c>
      <c r="J136" s="81">
        <f t="shared" ref="J136" si="61">IF(inp_default="Q",E136,IF(inp_default="PF",1,0))</f>
        <v>0.02</v>
      </c>
      <c r="K136" s="81" t="s">
        <v>105</v>
      </c>
      <c r="L136" s="83">
        <f t="shared" si="58"/>
        <v>10</v>
      </c>
      <c r="M136" s="83">
        <f t="shared" si="59"/>
        <v>0.5</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25">
      <c r="A137" s="1">
        <v>135</v>
      </c>
      <c r="B137" s="80" t="b">
        <f t="shared" si="34"/>
        <v>1</v>
      </c>
      <c r="C137" s="80" t="b">
        <f t="shared" si="34"/>
        <v>1</v>
      </c>
      <c r="D137" s="79" t="s">
        <v>679</v>
      </c>
      <c r="E137" s="81">
        <f t="shared" si="55"/>
        <v>0.02</v>
      </c>
      <c r="F137" s="81">
        <v>1</v>
      </c>
      <c r="G137" s="81" t="s">
        <v>105</v>
      </c>
      <c r="H137" s="83" t="s">
        <v>219</v>
      </c>
      <c r="I137" s="82" t="s">
        <v>105</v>
      </c>
      <c r="J137" s="81">
        <f t="shared" ref="J137" si="62">IF(inp_default="Q(U)",E137,IF(inp_default="PF",1,0))</f>
        <v>0</v>
      </c>
      <c r="K137" s="81" t="s">
        <v>105</v>
      </c>
      <c r="L137" s="83">
        <f>inp_scr_tun</f>
        <v>20</v>
      </c>
      <c r="M137" s="83">
        <f>inp_xr_tun</f>
        <v>-100</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0.5</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25">
      <c r="A138" s="1">
        <v>136</v>
      </c>
      <c r="B138" s="80" t="b">
        <f t="shared" si="34"/>
        <v>1</v>
      </c>
      <c r="C138" s="80" t="b">
        <f t="shared" si="34"/>
        <v>1</v>
      </c>
      <c r="D138" s="79" t="s">
        <v>680</v>
      </c>
      <c r="E138" s="81">
        <f t="shared" si="55"/>
        <v>0.02</v>
      </c>
      <c r="F138" s="81">
        <v>1</v>
      </c>
      <c r="G138" s="81" t="s">
        <v>105</v>
      </c>
      <c r="H138" s="83" t="s">
        <v>219</v>
      </c>
      <c r="I138" s="82" t="s">
        <v>105</v>
      </c>
      <c r="J138" s="81">
        <f t="shared" ref="J138:J142" si="63">IF(inp_default="Q(U)",E138,IF(inp_default="PF",1,0))</f>
        <v>0</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25">
      <c r="A139" s="1">
        <v>137</v>
      </c>
      <c r="B139" s="80" t="b">
        <f t="shared" si="34"/>
        <v>1</v>
      </c>
      <c r="C139" s="80" t="b">
        <f t="shared" si="34"/>
        <v>1</v>
      </c>
      <c r="D139" s="79" t="s">
        <v>681</v>
      </c>
      <c r="E139" s="81">
        <f t="shared" si="55"/>
        <v>0.02</v>
      </c>
      <c r="F139" s="81">
        <v>1</v>
      </c>
      <c r="G139" s="81" t="s">
        <v>105</v>
      </c>
      <c r="H139" s="83" t="s">
        <v>219</v>
      </c>
      <c r="I139" s="82" t="s">
        <v>105</v>
      </c>
      <c r="J139" s="81">
        <f t="shared" si="63"/>
        <v>0</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25">
      <c r="A140" s="1">
        <v>138</v>
      </c>
      <c r="B140" s="80" t="b">
        <f t="shared" si="34"/>
        <v>1</v>
      </c>
      <c r="C140" s="80" t="b">
        <f t="shared" si="34"/>
        <v>1</v>
      </c>
      <c r="D140" s="79" t="s">
        <v>736</v>
      </c>
      <c r="E140" s="81">
        <f t="shared" si="55"/>
        <v>0.02</v>
      </c>
      <c r="F140" s="81">
        <v>1</v>
      </c>
      <c r="G140" s="81" t="s">
        <v>105</v>
      </c>
      <c r="H140" s="83" t="s">
        <v>219</v>
      </c>
      <c r="I140" s="82" t="s">
        <v>105</v>
      </c>
      <c r="J140" s="81">
        <f t="shared" si="63"/>
        <v>0</v>
      </c>
      <c r="K140" s="81" t="s">
        <v>105</v>
      </c>
      <c r="L140" s="83">
        <f t="shared" ref="L140:L141" si="64">inp_scr_min</f>
        <v>10</v>
      </c>
      <c r="M140" s="83">
        <f t="shared" ref="M140:M141" si="65">inp_xr_min</f>
        <v>0.5</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25">
      <c r="A141" s="1">
        <v>139</v>
      </c>
      <c r="B141" s="80" t="b">
        <f t="shared" ref="B141:C167" si="66">inp_Un&gt;=110</f>
        <v>1</v>
      </c>
      <c r="C141" s="80" t="b">
        <f t="shared" si="66"/>
        <v>1</v>
      </c>
      <c r="D141" s="79" t="s">
        <v>737</v>
      </c>
      <c r="E141" s="81">
        <f t="shared" si="55"/>
        <v>0.02</v>
      </c>
      <c r="F141" s="81">
        <v>1</v>
      </c>
      <c r="G141" s="81" t="s">
        <v>105</v>
      </c>
      <c r="H141" s="83" t="s">
        <v>219</v>
      </c>
      <c r="I141" s="82" t="s">
        <v>105</v>
      </c>
      <c r="J141" s="81">
        <f t="shared" si="63"/>
        <v>0</v>
      </c>
      <c r="K141" s="81" t="s">
        <v>105</v>
      </c>
      <c r="L141" s="83">
        <f t="shared" si="64"/>
        <v>10</v>
      </c>
      <c r="M141" s="83">
        <f t="shared" si="65"/>
        <v>0.5</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25">
      <c r="A142" s="1">
        <v>140</v>
      </c>
      <c r="B142" s="80" t="b">
        <f t="shared" si="66"/>
        <v>1</v>
      </c>
      <c r="C142" s="80" t="b">
        <f t="shared" si="66"/>
        <v>1</v>
      </c>
      <c r="D142" s="79" t="s">
        <v>682</v>
      </c>
      <c r="E142" s="81">
        <f t="shared" si="55"/>
        <v>0.02</v>
      </c>
      <c r="F142" s="81">
        <v>1</v>
      </c>
      <c r="G142" s="81" t="s">
        <v>105</v>
      </c>
      <c r="H142" s="83" t="s">
        <v>219</v>
      </c>
      <c r="I142" s="82" t="s">
        <v>105</v>
      </c>
      <c r="J142" s="81">
        <f t="shared" si="63"/>
        <v>0</v>
      </c>
      <c r="K142" s="81" t="s">
        <v>105</v>
      </c>
      <c r="L142" s="83">
        <f>inp_scr_tun</f>
        <v>20</v>
      </c>
      <c r="M142" s="83">
        <f>inp_xr_tun</f>
        <v>-100</v>
      </c>
      <c r="N142" s="83" t="s">
        <v>105</v>
      </c>
      <c r="O142" s="84">
        <v>20</v>
      </c>
      <c r="P142" s="89" t="s">
        <v>115</v>
      </c>
      <c r="Q142" s="89">
        <v>0</v>
      </c>
      <c r="R142" s="92">
        <v>0.4</v>
      </c>
      <c r="S142" s="89">
        <v>0.2</v>
      </c>
      <c r="T142" s="81" t="s">
        <v>119</v>
      </c>
      <c r="U142" s="81">
        <f>Q142+S142-0.001</f>
        <v>0.19900000000000001</v>
      </c>
      <c r="V142" s="81">
        <f>inp_scr_min</f>
        <v>10</v>
      </c>
      <c r="W142" s="81">
        <f>inp_xr_min</f>
        <v>0.5</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25">
      <c r="A143" s="1">
        <v>141</v>
      </c>
      <c r="B143" s="80" t="b">
        <f t="shared" si="66"/>
        <v>1</v>
      </c>
      <c r="C143" s="80" t="b">
        <f t="shared" si="66"/>
        <v>1</v>
      </c>
      <c r="D143" s="79" t="s">
        <v>683</v>
      </c>
      <c r="E143" s="81">
        <f t="shared" si="55"/>
        <v>0.02</v>
      </c>
      <c r="F143" s="81">
        <v>1</v>
      </c>
      <c r="G143" s="81" t="s">
        <v>105</v>
      </c>
      <c r="H143" s="83" t="s">
        <v>219</v>
      </c>
      <c r="I143" s="82" t="s">
        <v>105</v>
      </c>
      <c r="J143" s="81">
        <f t="shared" ref="J143" si="67">IF(inp_default="Q(U)",E143,IF(inp_default="PF",1,0))</f>
        <v>0</v>
      </c>
      <c r="K143" s="81" t="s">
        <v>105</v>
      </c>
      <c r="L143" s="83">
        <f>inp_scr_tun</f>
        <v>20</v>
      </c>
      <c r="M143" s="83">
        <f>inp_xr_tun</f>
        <v>-100</v>
      </c>
      <c r="N143" s="83" t="s">
        <v>105</v>
      </c>
      <c r="O143" s="84">
        <v>20</v>
      </c>
      <c r="P143" s="89" t="s">
        <v>115</v>
      </c>
      <c r="Q143" s="89">
        <v>0</v>
      </c>
      <c r="R143" s="92">
        <v>0.4</v>
      </c>
      <c r="S143" s="89">
        <v>0.2</v>
      </c>
      <c r="T143" s="81" t="s">
        <v>119</v>
      </c>
      <c r="U143" s="81">
        <f>Q143+S143-0.001</f>
        <v>0.19900000000000001</v>
      </c>
      <c r="V143" s="81">
        <f>inp_scr_min</f>
        <v>10</v>
      </c>
      <c r="W143" s="81">
        <f>inp_xr_min</f>
        <v>0.5</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25">
      <c r="A144" s="1">
        <v>142</v>
      </c>
      <c r="B144" s="80" t="b">
        <f t="shared" si="66"/>
        <v>1</v>
      </c>
      <c r="C144" s="80" t="b">
        <f t="shared" si="66"/>
        <v>1</v>
      </c>
      <c r="D144" s="79" t="s">
        <v>722</v>
      </c>
      <c r="E144" s="81">
        <f t="shared" ref="E144:E145" si="68">inp_Uc/inp_Un</f>
        <v>0.02</v>
      </c>
      <c r="F144" s="81">
        <v>1</v>
      </c>
      <c r="G144" s="81" t="s">
        <v>105</v>
      </c>
      <c r="H144" s="83" t="s">
        <v>219</v>
      </c>
      <c r="I144" s="82" t="s">
        <v>105</v>
      </c>
      <c r="J144" s="81">
        <f t="shared" ref="J144" si="69">IF(inp_default="Q(U)",E144,IF(inp_default="PF",1,0))</f>
        <v>0</v>
      </c>
      <c r="K144" s="81" t="s">
        <v>105</v>
      </c>
      <c r="L144" s="83">
        <f>inp_scr_max</f>
        <v>30</v>
      </c>
      <c r="M144" s="83" t="str">
        <f>inp_xr_max</f>
        <v>Demand</v>
      </c>
      <c r="N144" s="83" t="s">
        <v>105</v>
      </c>
      <c r="O144" s="84">
        <v>10</v>
      </c>
      <c r="P144" s="89" t="s">
        <v>119</v>
      </c>
      <c r="Q144" s="89">
        <v>0</v>
      </c>
      <c r="R144" s="89">
        <f>inp_scr_min</f>
        <v>10</v>
      </c>
      <c r="S144" s="89">
        <f>inp_xr_min</f>
        <v>0.5</v>
      </c>
      <c r="T144" s="81" t="s">
        <v>119</v>
      </c>
      <c r="U144" s="81">
        <v>5</v>
      </c>
      <c r="V144" s="81">
        <f>inp_scr_max</f>
        <v>30</v>
      </c>
      <c r="W144" s="81" t="str">
        <f>inp_xr_max</f>
        <v>Demand</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25">
      <c r="A145" s="1">
        <v>143</v>
      </c>
      <c r="B145" s="80" t="b">
        <f t="shared" si="66"/>
        <v>1</v>
      </c>
      <c r="C145" s="80" t="b">
        <f t="shared" si="66"/>
        <v>1</v>
      </c>
      <c r="D145" s="79" t="s">
        <v>723</v>
      </c>
      <c r="E145" s="81">
        <f t="shared" si="68"/>
        <v>0.02</v>
      </c>
      <c r="F145" s="81">
        <v>1</v>
      </c>
      <c r="G145" s="81" t="s">
        <v>105</v>
      </c>
      <c r="H145" s="83" t="s">
        <v>219</v>
      </c>
      <c r="I145" s="83" t="str">
        <f>IF(inp_default="Q(U)","Q", "Q(U)")</f>
        <v>Q(U)</v>
      </c>
      <c r="J145" s="81">
        <f>IF(inp_default="Q",E145,IF(inp_default="PF",1,0))</f>
        <v>0.02</v>
      </c>
      <c r="K145" s="81" t="s">
        <v>105</v>
      </c>
      <c r="L145" s="83">
        <f>inp_scr_max</f>
        <v>30</v>
      </c>
      <c r="M145" s="83" t="str">
        <f>inp_xr_max</f>
        <v>Demand</v>
      </c>
      <c r="N145" s="83" t="s">
        <v>105</v>
      </c>
      <c r="O145" s="84">
        <v>10</v>
      </c>
      <c r="P145" s="89" t="s">
        <v>119</v>
      </c>
      <c r="Q145" s="89">
        <v>0</v>
      </c>
      <c r="R145" s="89">
        <f>inp_scr_min</f>
        <v>10</v>
      </c>
      <c r="S145" s="89">
        <f>inp_xr_min</f>
        <v>0.5</v>
      </c>
      <c r="T145" s="81" t="s">
        <v>119</v>
      </c>
      <c r="U145" s="81">
        <v>5</v>
      </c>
      <c r="V145" s="81">
        <f>inp_scr_max</f>
        <v>30</v>
      </c>
      <c r="W145" s="81" t="str">
        <f>inp_xr_max</f>
        <v>Demand</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25">
      <c r="A146" s="1">
        <v>144</v>
      </c>
      <c r="B146" s="80" t="b">
        <f t="shared" si="66"/>
        <v>1</v>
      </c>
      <c r="C146" s="80" t="b">
        <f t="shared" si="66"/>
        <v>1</v>
      </c>
      <c r="D146" s="79" t="s">
        <v>684</v>
      </c>
      <c r="E146" s="81">
        <f t="shared" ref="E146:E178" si="70">inp_Uc/inp_Un</f>
        <v>0.02</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1">inp_Uc/inp_Un</f>
        <v>0.02</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25">
      <c r="A147" s="1">
        <v>145</v>
      </c>
      <c r="B147" s="80" t="b">
        <f t="shared" si="66"/>
        <v>1</v>
      </c>
      <c r="C147" s="80" t="b">
        <f t="shared" si="66"/>
        <v>1</v>
      </c>
      <c r="D147" s="79" t="s">
        <v>685</v>
      </c>
      <c r="E147" s="81">
        <f t="shared" si="70"/>
        <v>0.02</v>
      </c>
      <c r="F147" s="81">
        <v>1</v>
      </c>
      <c r="G147" s="81" t="s">
        <v>105</v>
      </c>
      <c r="H147" s="83" t="s">
        <v>219</v>
      </c>
      <c r="I147" s="83" t="s">
        <v>110</v>
      </c>
      <c r="J147" s="81">
        <f t="shared" ref="J147" si="72">inp_Uc/inp_Un</f>
        <v>0.02</v>
      </c>
      <c r="K147" s="81" t="s">
        <v>105</v>
      </c>
      <c r="L147" s="83">
        <v>-1</v>
      </c>
      <c r="M147" s="83">
        <v>0</v>
      </c>
      <c r="N147" s="83" t="s">
        <v>105</v>
      </c>
      <c r="O147" s="84"/>
      <c r="P147" s="89" t="s">
        <v>124</v>
      </c>
      <c r="Q147" s="89"/>
      <c r="R147" s="94" t="s">
        <v>125</v>
      </c>
      <c r="S147" s="94">
        <f t="shared" si="71"/>
        <v>0.02</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25">
      <c r="A148" s="1">
        <v>146</v>
      </c>
      <c r="B148" s="80" t="b">
        <f t="shared" si="66"/>
        <v>1</v>
      </c>
      <c r="C148" s="80" t="b">
        <f t="shared" si="66"/>
        <v>1</v>
      </c>
      <c r="D148" s="79" t="s">
        <v>686</v>
      </c>
      <c r="E148" s="81">
        <f t="shared" si="70"/>
        <v>0.02</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1"/>
        <v>0.02</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25">
      <c r="A149" s="1">
        <v>147</v>
      </c>
      <c r="B149" s="80" t="b">
        <f t="shared" si="66"/>
        <v>1</v>
      </c>
      <c r="C149" s="80" t="b">
        <f t="shared" si="66"/>
        <v>1</v>
      </c>
      <c r="D149" s="79" t="s">
        <v>687</v>
      </c>
      <c r="E149" s="81">
        <f t="shared" si="70"/>
        <v>0.02</v>
      </c>
      <c r="F149" s="81">
        <v>1</v>
      </c>
      <c r="G149" s="81" t="s">
        <v>105</v>
      </c>
      <c r="H149" s="83" t="s">
        <v>219</v>
      </c>
      <c r="I149" s="83" t="s">
        <v>110</v>
      </c>
      <c r="J149" s="81">
        <f t="shared" ref="J149:J151" si="73">inp_Uc/inp_Un</f>
        <v>0.02</v>
      </c>
      <c r="K149" s="81" t="s">
        <v>105</v>
      </c>
      <c r="L149" s="83">
        <v>-1</v>
      </c>
      <c r="M149" s="83">
        <v>0</v>
      </c>
      <c r="N149" s="83" t="s">
        <v>105</v>
      </c>
      <c r="O149" s="84"/>
      <c r="P149" s="89" t="s">
        <v>124</v>
      </c>
      <c r="Q149" s="89"/>
      <c r="R149" s="94" t="s">
        <v>126</v>
      </c>
      <c r="S149" s="94">
        <f t="shared" si="71"/>
        <v>0.02</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25">
      <c r="A150" s="1">
        <v>148</v>
      </c>
      <c r="B150" s="80" t="b">
        <f t="shared" si="66"/>
        <v>1</v>
      </c>
      <c r="C150" s="80" t="b">
        <f t="shared" si="66"/>
        <v>1</v>
      </c>
      <c r="D150" s="79" t="s">
        <v>688</v>
      </c>
      <c r="E150" s="81">
        <f t="shared" si="70"/>
        <v>0.02</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1"/>
        <v>0.02</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25">
      <c r="A151" s="1">
        <v>149</v>
      </c>
      <c r="B151" s="80" t="b">
        <f t="shared" si="66"/>
        <v>1</v>
      </c>
      <c r="C151" s="80" t="b">
        <f t="shared" si="66"/>
        <v>1</v>
      </c>
      <c r="D151" s="79" t="s">
        <v>689</v>
      </c>
      <c r="E151" s="81">
        <f t="shared" si="70"/>
        <v>0.02</v>
      </c>
      <c r="F151" s="81">
        <v>1</v>
      </c>
      <c r="G151" s="81" t="s">
        <v>105</v>
      </c>
      <c r="H151" s="83" t="s">
        <v>219</v>
      </c>
      <c r="I151" s="83" t="s">
        <v>110</v>
      </c>
      <c r="J151" s="81">
        <f t="shared" si="73"/>
        <v>0.02</v>
      </c>
      <c r="K151" s="81" t="s">
        <v>105</v>
      </c>
      <c r="L151" s="83">
        <v>-1</v>
      </c>
      <c r="M151" s="83">
        <v>0</v>
      </c>
      <c r="N151" s="83" t="s">
        <v>105</v>
      </c>
      <c r="O151" s="84"/>
      <c r="P151" s="89" t="s">
        <v>124</v>
      </c>
      <c r="Q151" s="89"/>
      <c r="R151" s="94" t="s">
        <v>338</v>
      </c>
      <c r="S151" s="94">
        <f t="shared" si="71"/>
        <v>0.02</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25">
      <c r="A152" s="1">
        <v>150</v>
      </c>
      <c r="B152" s="80" t="b">
        <f t="shared" si="66"/>
        <v>1</v>
      </c>
      <c r="C152" s="80" t="b">
        <f t="shared" si="66"/>
        <v>1</v>
      </c>
      <c r="D152" s="79" t="s">
        <v>690</v>
      </c>
      <c r="E152" s="81">
        <f t="shared" si="70"/>
        <v>0.02</v>
      </c>
      <c r="F152" s="81">
        <v>1</v>
      </c>
      <c r="G152" s="81" t="s">
        <v>105</v>
      </c>
      <c r="H152" s="83" t="s">
        <v>219</v>
      </c>
      <c r="I152" s="82" t="s">
        <v>105</v>
      </c>
      <c r="J152" s="81">
        <v>0</v>
      </c>
      <c r="K152" s="81" t="s">
        <v>105</v>
      </c>
      <c r="L152" s="83">
        <f>inp_scr_min</f>
        <v>10</v>
      </c>
      <c r="M152" s="83">
        <f t="shared" ref="M152:M163" si="74">inp_xr_min</f>
        <v>0.5</v>
      </c>
      <c r="N152" s="83" t="s">
        <v>732</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25">
      <c r="A153" s="1">
        <v>151</v>
      </c>
      <c r="B153" s="80" t="b">
        <f t="shared" si="66"/>
        <v>1</v>
      </c>
      <c r="C153" s="80" t="b">
        <f t="shared" si="66"/>
        <v>1</v>
      </c>
      <c r="D153" s="79" t="s">
        <v>691</v>
      </c>
      <c r="E153" s="81">
        <f t="shared" si="70"/>
        <v>0.02</v>
      </c>
      <c r="F153" s="81">
        <v>1</v>
      </c>
      <c r="G153" s="81" t="s">
        <v>105</v>
      </c>
      <c r="H153" s="83" t="s">
        <v>219</v>
      </c>
      <c r="I153" s="82" t="s">
        <v>105</v>
      </c>
      <c r="J153" s="81">
        <v>0</v>
      </c>
      <c r="K153" s="81" t="s">
        <v>105</v>
      </c>
      <c r="L153" s="83">
        <f>inp_scr_max</f>
        <v>30</v>
      </c>
      <c r="M153" s="83" t="str">
        <f>inp_xr_max</f>
        <v>Demand</v>
      </c>
      <c r="N153" s="83" t="s">
        <v>732</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25">
      <c r="A154" s="1">
        <v>152</v>
      </c>
      <c r="B154" s="80" t="b">
        <f t="shared" si="66"/>
        <v>1</v>
      </c>
      <c r="C154" s="80" t="b">
        <f t="shared" si="66"/>
        <v>1</v>
      </c>
      <c r="D154" s="79" t="s">
        <v>692</v>
      </c>
      <c r="E154" s="81">
        <f t="shared" si="70"/>
        <v>0.02</v>
      </c>
      <c r="F154" s="81">
        <v>1</v>
      </c>
      <c r="G154" s="81" t="s">
        <v>105</v>
      </c>
      <c r="H154" s="83" t="s">
        <v>219</v>
      </c>
      <c r="I154" s="82" t="s">
        <v>105</v>
      </c>
      <c r="J154" s="81">
        <v>0</v>
      </c>
      <c r="K154" s="81" t="s">
        <v>105</v>
      </c>
      <c r="L154" s="83">
        <f>inp_scr_min</f>
        <v>10</v>
      </c>
      <c r="M154" s="83">
        <f t="shared" si="74"/>
        <v>0.5</v>
      </c>
      <c r="N154" s="83" t="s">
        <v>732</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25">
      <c r="A155" s="1">
        <v>153</v>
      </c>
      <c r="B155" s="80" t="b">
        <f t="shared" si="66"/>
        <v>1</v>
      </c>
      <c r="C155" s="80" t="b">
        <f t="shared" si="66"/>
        <v>1</v>
      </c>
      <c r="D155" s="79" t="s">
        <v>693</v>
      </c>
      <c r="E155" s="81">
        <f t="shared" si="70"/>
        <v>0.02</v>
      </c>
      <c r="F155" s="81">
        <v>1</v>
      </c>
      <c r="G155" s="81" t="s">
        <v>105</v>
      </c>
      <c r="H155" s="83" t="s">
        <v>219</v>
      </c>
      <c r="I155" s="82" t="s">
        <v>105</v>
      </c>
      <c r="J155" s="81">
        <v>0</v>
      </c>
      <c r="K155" s="81" t="s">
        <v>105</v>
      </c>
      <c r="L155" s="83">
        <f>inp_scr_max</f>
        <v>30</v>
      </c>
      <c r="M155" s="83" t="str">
        <f>inp_xr_max</f>
        <v>Demand</v>
      </c>
      <c r="N155" s="83" t="s">
        <v>732</v>
      </c>
      <c r="O155" s="101">
        <v>12</v>
      </c>
      <c r="P155" s="113" t="s">
        <v>118</v>
      </c>
      <c r="Q155" s="116">
        <v>0</v>
      </c>
      <c r="R155" s="116">
        <v>0.2</v>
      </c>
      <c r="S155" s="116">
        <v>0.45</v>
      </c>
      <c r="T155" s="79"/>
      <c r="U155" s="81"/>
      <c r="V155" s="200"/>
      <c r="W155" s="81"/>
      <c r="Z155" s="88"/>
      <c r="AA155" s="88"/>
      <c r="AD155" s="5"/>
      <c r="AE155" s="5"/>
      <c r="AH155" s="88"/>
      <c r="AI155" s="88"/>
    </row>
    <row r="156" spans="1:67" x14ac:dyDescent="0.25">
      <c r="A156" s="1">
        <v>154</v>
      </c>
      <c r="B156" s="80" t="b">
        <f t="shared" si="66"/>
        <v>1</v>
      </c>
      <c r="C156" s="80" t="b">
        <f t="shared" si="66"/>
        <v>1</v>
      </c>
      <c r="D156" s="79" t="s">
        <v>694</v>
      </c>
      <c r="E156" s="81">
        <f t="shared" si="70"/>
        <v>0.02</v>
      </c>
      <c r="F156" s="81">
        <v>1</v>
      </c>
      <c r="G156" s="81" t="s">
        <v>105</v>
      </c>
      <c r="H156" s="83" t="s">
        <v>219</v>
      </c>
      <c r="I156" s="82" t="s">
        <v>105</v>
      </c>
      <c r="J156" s="81">
        <v>0</v>
      </c>
      <c r="K156" s="81" t="s">
        <v>105</v>
      </c>
      <c r="L156" s="83">
        <f>inp_scr_min</f>
        <v>10</v>
      </c>
      <c r="M156" s="83">
        <f t="shared" si="74"/>
        <v>0.5</v>
      </c>
      <c r="N156" s="83" t="s">
        <v>732</v>
      </c>
      <c r="O156" s="101">
        <v>12</v>
      </c>
      <c r="P156" s="113" t="s">
        <v>116</v>
      </c>
      <c r="Q156" s="116">
        <v>0</v>
      </c>
      <c r="R156" s="116">
        <v>0.2</v>
      </c>
      <c r="S156" s="116">
        <v>0.45</v>
      </c>
      <c r="T156" s="79"/>
      <c r="U156" s="81"/>
      <c r="V156" s="200"/>
      <c r="W156" s="81"/>
      <c r="Z156" s="88"/>
      <c r="AA156" s="88"/>
      <c r="AD156" s="5"/>
      <c r="AE156" s="5"/>
      <c r="AH156" s="88"/>
      <c r="AI156" s="88"/>
    </row>
    <row r="157" spans="1:67" x14ac:dyDescent="0.25">
      <c r="A157" s="1">
        <v>155</v>
      </c>
      <c r="B157" s="80" t="b">
        <f t="shared" si="66"/>
        <v>1</v>
      </c>
      <c r="C157" s="80" t="b">
        <f t="shared" si="66"/>
        <v>1</v>
      </c>
      <c r="D157" s="79" t="s">
        <v>695</v>
      </c>
      <c r="E157" s="81">
        <f t="shared" si="70"/>
        <v>0.02</v>
      </c>
      <c r="F157" s="81">
        <v>1</v>
      </c>
      <c r="G157" s="81" t="s">
        <v>105</v>
      </c>
      <c r="H157" s="83" t="s">
        <v>219</v>
      </c>
      <c r="I157" s="82" t="s">
        <v>105</v>
      </c>
      <c r="J157" s="81">
        <v>0</v>
      </c>
      <c r="K157" s="81" t="s">
        <v>105</v>
      </c>
      <c r="L157" s="83">
        <f>inp_scr_max</f>
        <v>30</v>
      </c>
      <c r="M157" s="83" t="str">
        <f>inp_xr_max</f>
        <v>Demand</v>
      </c>
      <c r="N157" s="83" t="s">
        <v>732</v>
      </c>
      <c r="O157" s="101">
        <v>12</v>
      </c>
      <c r="P157" s="113" t="s">
        <v>116</v>
      </c>
      <c r="Q157" s="116">
        <v>0</v>
      </c>
      <c r="R157" s="116">
        <v>0.2</v>
      </c>
      <c r="S157" s="116">
        <v>0.45</v>
      </c>
      <c r="T157" s="79"/>
      <c r="U157" s="81"/>
      <c r="V157" s="200"/>
      <c r="W157" s="81"/>
      <c r="Z157" s="88"/>
      <c r="AA157" s="88"/>
      <c r="AD157" s="5"/>
      <c r="AE157" s="5"/>
      <c r="AH157" s="88"/>
      <c r="AI157" s="88"/>
    </row>
    <row r="158" spans="1:67" x14ac:dyDescent="0.25">
      <c r="A158" s="1">
        <v>156</v>
      </c>
      <c r="B158" s="80" t="b">
        <f t="shared" si="66"/>
        <v>1</v>
      </c>
      <c r="C158" s="80" t="b">
        <f t="shared" si="66"/>
        <v>1</v>
      </c>
      <c r="D158" s="79" t="s">
        <v>696</v>
      </c>
      <c r="E158" s="81">
        <f t="shared" si="70"/>
        <v>0.02</v>
      </c>
      <c r="F158" s="81">
        <v>1</v>
      </c>
      <c r="G158" s="81" t="s">
        <v>105</v>
      </c>
      <c r="H158" s="83" t="s">
        <v>219</v>
      </c>
      <c r="I158" s="82" t="s">
        <v>105</v>
      </c>
      <c r="J158" s="81">
        <v>0</v>
      </c>
      <c r="K158" s="81" t="s">
        <v>105</v>
      </c>
      <c r="L158" s="83">
        <f>inp_scr_min</f>
        <v>10</v>
      </c>
      <c r="M158" s="83">
        <f t="shared" si="74"/>
        <v>0.5</v>
      </c>
      <c r="N158" s="83" t="s">
        <v>732</v>
      </c>
      <c r="O158" s="101">
        <v>12</v>
      </c>
      <c r="P158" s="113" t="s">
        <v>117</v>
      </c>
      <c r="Q158" s="116">
        <v>0</v>
      </c>
      <c r="R158" s="116">
        <v>0.2</v>
      </c>
      <c r="S158" s="116">
        <v>0.45</v>
      </c>
      <c r="T158" s="79"/>
      <c r="U158" s="81"/>
      <c r="V158" s="200"/>
      <c r="W158" s="81"/>
      <c r="Z158" s="88"/>
      <c r="AA158" s="88"/>
      <c r="AD158" s="5"/>
      <c r="AE158" s="5"/>
      <c r="AH158" s="88"/>
      <c r="AI158" s="88"/>
    </row>
    <row r="159" spans="1:67" x14ac:dyDescent="0.25">
      <c r="A159" s="1">
        <v>157</v>
      </c>
      <c r="B159" s="80" t="b">
        <f t="shared" si="66"/>
        <v>1</v>
      </c>
      <c r="C159" s="80" t="b">
        <f t="shared" si="66"/>
        <v>1</v>
      </c>
      <c r="D159" s="79" t="s">
        <v>697</v>
      </c>
      <c r="E159" s="81">
        <f t="shared" si="70"/>
        <v>0.02</v>
      </c>
      <c r="F159" s="81">
        <v>1</v>
      </c>
      <c r="G159" s="81" t="s">
        <v>105</v>
      </c>
      <c r="H159" s="83" t="s">
        <v>219</v>
      </c>
      <c r="I159" s="82" t="s">
        <v>105</v>
      </c>
      <c r="J159" s="81">
        <v>0</v>
      </c>
      <c r="K159" s="81" t="s">
        <v>105</v>
      </c>
      <c r="L159" s="83">
        <f>inp_scr_max</f>
        <v>30</v>
      </c>
      <c r="M159" s="83" t="str">
        <f>inp_xr_max</f>
        <v>Demand</v>
      </c>
      <c r="N159" s="83" t="s">
        <v>732</v>
      </c>
      <c r="O159" s="101">
        <v>12</v>
      </c>
      <c r="P159" s="113" t="s">
        <v>117</v>
      </c>
      <c r="Q159" s="116">
        <v>0</v>
      </c>
      <c r="R159" s="116">
        <v>0.2</v>
      </c>
      <c r="S159" s="116">
        <v>0.45</v>
      </c>
      <c r="T159" s="79"/>
      <c r="U159" s="81"/>
      <c r="V159" s="200"/>
      <c r="W159" s="81"/>
      <c r="Z159" s="88"/>
      <c r="AA159" s="88"/>
      <c r="AD159" s="5"/>
      <c r="AE159" s="5"/>
      <c r="AH159" s="88"/>
      <c r="AI159" s="88"/>
    </row>
    <row r="160" spans="1:67" x14ac:dyDescent="0.25">
      <c r="A160" s="1">
        <v>158</v>
      </c>
      <c r="B160" s="80" t="b">
        <f t="shared" si="66"/>
        <v>1</v>
      </c>
      <c r="C160" s="80" t="b">
        <f t="shared" si="66"/>
        <v>1</v>
      </c>
      <c r="D160" s="79" t="s">
        <v>698</v>
      </c>
      <c r="E160" s="81">
        <f t="shared" si="70"/>
        <v>0.02</v>
      </c>
      <c r="F160" s="81">
        <v>1</v>
      </c>
      <c r="G160" s="81" t="s">
        <v>105</v>
      </c>
      <c r="H160" s="83" t="s">
        <v>219</v>
      </c>
      <c r="I160" s="82" t="s">
        <v>105</v>
      </c>
      <c r="J160" s="81">
        <v>0</v>
      </c>
      <c r="K160" s="81" t="s">
        <v>105</v>
      </c>
      <c r="L160" s="83">
        <f>inp_scr_min</f>
        <v>10</v>
      </c>
      <c r="M160" s="83">
        <f t="shared" si="74"/>
        <v>0.5</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25">
      <c r="A161" s="1">
        <v>159</v>
      </c>
      <c r="B161" s="80" t="b">
        <f t="shared" si="66"/>
        <v>1</v>
      </c>
      <c r="C161" s="80" t="b">
        <f t="shared" si="66"/>
        <v>1</v>
      </c>
      <c r="D161" s="79" t="s">
        <v>699</v>
      </c>
      <c r="E161" s="81">
        <f t="shared" si="70"/>
        <v>0.02</v>
      </c>
      <c r="F161" s="81">
        <v>1</v>
      </c>
      <c r="G161" s="81" t="s">
        <v>105</v>
      </c>
      <c r="H161" s="83" t="s">
        <v>219</v>
      </c>
      <c r="I161" s="82" t="s">
        <v>105</v>
      </c>
      <c r="J161" s="81">
        <v>0</v>
      </c>
      <c r="K161" s="81" t="s">
        <v>105</v>
      </c>
      <c r="L161" s="83">
        <f>inp_scr_min</f>
        <v>10</v>
      </c>
      <c r="M161" s="83">
        <f t="shared" si="74"/>
        <v>0.5</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25">
      <c r="A162" s="1">
        <v>160</v>
      </c>
      <c r="B162" s="80" t="b">
        <f t="shared" si="66"/>
        <v>1</v>
      </c>
      <c r="C162" s="80" t="b">
        <f t="shared" si="66"/>
        <v>1</v>
      </c>
      <c r="D162" s="79" t="s">
        <v>700</v>
      </c>
      <c r="E162" s="81">
        <f t="shared" si="70"/>
        <v>0.02</v>
      </c>
      <c r="F162" s="81">
        <v>0.5</v>
      </c>
      <c r="G162" s="81">
        <v>0.5</v>
      </c>
      <c r="H162" s="83" t="s">
        <v>219</v>
      </c>
      <c r="I162" s="82" t="s">
        <v>105</v>
      </c>
      <c r="J162" s="81">
        <v>0</v>
      </c>
      <c r="K162" s="81" t="s">
        <v>105</v>
      </c>
      <c r="L162" s="83">
        <f>inp_scr_min</f>
        <v>10</v>
      </c>
      <c r="M162" s="83">
        <f t="shared" si="74"/>
        <v>0.5</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25">
      <c r="A163" s="1">
        <v>161</v>
      </c>
      <c r="B163" s="80" t="b">
        <f t="shared" si="66"/>
        <v>1</v>
      </c>
      <c r="C163" s="80" t="b">
        <f t="shared" si="66"/>
        <v>1</v>
      </c>
      <c r="D163" s="79" t="s">
        <v>701</v>
      </c>
      <c r="E163" s="81">
        <f t="shared" si="70"/>
        <v>0.02</v>
      </c>
      <c r="F163" s="81">
        <v>0.5</v>
      </c>
      <c r="G163" s="81">
        <v>0.5</v>
      </c>
      <c r="H163" s="83" t="s">
        <v>219</v>
      </c>
      <c r="I163" s="82" t="s">
        <v>105</v>
      </c>
      <c r="J163" s="81">
        <v>0</v>
      </c>
      <c r="K163" s="81" t="s">
        <v>105</v>
      </c>
      <c r="L163" s="83">
        <f>inp_scr_min</f>
        <v>10</v>
      </c>
      <c r="M163" s="83">
        <f t="shared" si="74"/>
        <v>0.5</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25">
      <c r="A164" s="1">
        <v>162</v>
      </c>
      <c r="B164" s="80" t="b">
        <f t="shared" si="66"/>
        <v>1</v>
      </c>
      <c r="C164" s="80" t="b">
        <f t="shared" si="66"/>
        <v>1</v>
      </c>
      <c r="D164" s="79" t="s">
        <v>702</v>
      </c>
      <c r="E164" s="81">
        <f t="shared" si="70"/>
        <v>0.02</v>
      </c>
      <c r="F164" s="81">
        <v>1</v>
      </c>
      <c r="G164" s="81" t="s">
        <v>105</v>
      </c>
      <c r="H164" s="83" t="s">
        <v>219</v>
      </c>
      <c r="I164" s="82" t="s">
        <v>21</v>
      </c>
      <c r="J164" s="81">
        <v>0</v>
      </c>
      <c r="K164" s="81" t="s">
        <v>105</v>
      </c>
      <c r="L164" s="83">
        <f t="shared" ref="L164:L168" si="75">inp_scr_min</f>
        <v>10</v>
      </c>
      <c r="M164" s="83">
        <f t="shared" ref="M164:M168" si="76">inp_xr_min</f>
        <v>0.5</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25">
      <c r="A165" s="1">
        <v>163</v>
      </c>
      <c r="B165" s="80" t="b">
        <f t="shared" si="66"/>
        <v>1</v>
      </c>
      <c r="C165" s="80" t="b">
        <f t="shared" si="66"/>
        <v>1</v>
      </c>
      <c r="D165" s="79" t="s">
        <v>703</v>
      </c>
      <c r="E165" s="81">
        <f t="shared" si="70"/>
        <v>0.02</v>
      </c>
      <c r="F165" s="81">
        <v>1</v>
      </c>
      <c r="G165" s="81" t="s">
        <v>105</v>
      </c>
      <c r="H165" s="83" t="s">
        <v>219</v>
      </c>
      <c r="I165" s="82" t="s">
        <v>21</v>
      </c>
      <c r="J165" s="81">
        <v>0</v>
      </c>
      <c r="K165" s="81" t="s">
        <v>105</v>
      </c>
      <c r="L165" s="83">
        <f t="shared" si="75"/>
        <v>10</v>
      </c>
      <c r="M165" s="83">
        <f t="shared" si="76"/>
        <v>0.5</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25">
      <c r="A166" s="1">
        <v>164</v>
      </c>
      <c r="B166" s="80" t="b">
        <f t="shared" si="66"/>
        <v>1</v>
      </c>
      <c r="C166" s="80" t="b">
        <f t="shared" si="66"/>
        <v>1</v>
      </c>
      <c r="D166" s="79" t="s">
        <v>704</v>
      </c>
      <c r="E166" s="81">
        <f t="shared" si="70"/>
        <v>0.02</v>
      </c>
      <c r="F166" s="81">
        <v>1</v>
      </c>
      <c r="G166" s="81" t="s">
        <v>105</v>
      </c>
      <c r="H166" s="83" t="s">
        <v>219</v>
      </c>
      <c r="I166" s="82" t="s">
        <v>21</v>
      </c>
      <c r="J166" s="81">
        <v>0</v>
      </c>
      <c r="K166" s="81" t="s">
        <v>105</v>
      </c>
      <c r="L166" s="83">
        <f t="shared" si="75"/>
        <v>10</v>
      </c>
      <c r="M166" s="83">
        <f t="shared" si="76"/>
        <v>0.5</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25">
      <c r="A167" s="1">
        <v>165</v>
      </c>
      <c r="B167" s="80" t="b">
        <f t="shared" si="66"/>
        <v>1</v>
      </c>
      <c r="C167" s="80" t="b">
        <f t="shared" si="66"/>
        <v>1</v>
      </c>
      <c r="D167" s="79" t="s">
        <v>705</v>
      </c>
      <c r="E167" s="81">
        <f t="shared" si="70"/>
        <v>0.02</v>
      </c>
      <c r="F167" s="81">
        <v>1</v>
      </c>
      <c r="G167" s="81" t="s">
        <v>105</v>
      </c>
      <c r="H167" s="83" t="s">
        <v>219</v>
      </c>
      <c r="I167" s="82" t="s">
        <v>21</v>
      </c>
      <c r="J167" s="81">
        <v>0</v>
      </c>
      <c r="K167" s="81" t="s">
        <v>105</v>
      </c>
      <c r="L167" s="83">
        <f t="shared" si="75"/>
        <v>10</v>
      </c>
      <c r="M167" s="83">
        <f t="shared" si="76"/>
        <v>0.5</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25">
      <c r="A168" s="1">
        <v>166</v>
      </c>
      <c r="B168" s="80" t="b">
        <f t="shared" ref="B168:C178" si="77">inp_Un&gt;=110</f>
        <v>1</v>
      </c>
      <c r="C168" s="80" t="b">
        <f t="shared" si="77"/>
        <v>1</v>
      </c>
      <c r="D168" s="79" t="s">
        <v>706</v>
      </c>
      <c r="E168" s="81">
        <f t="shared" si="70"/>
        <v>0.02</v>
      </c>
      <c r="F168" s="81">
        <v>1</v>
      </c>
      <c r="G168" s="81" t="s">
        <v>105</v>
      </c>
      <c r="H168" s="83" t="s">
        <v>219</v>
      </c>
      <c r="I168" s="82" t="s">
        <v>21</v>
      </c>
      <c r="J168" s="81">
        <v>0</v>
      </c>
      <c r="K168" s="81" t="s">
        <v>105</v>
      </c>
      <c r="L168" s="83">
        <f t="shared" si="75"/>
        <v>10</v>
      </c>
      <c r="M168" s="83">
        <f t="shared" si="76"/>
        <v>0.5</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25">
      <c r="A169" s="1">
        <v>167</v>
      </c>
      <c r="B169" s="80" t="b">
        <f t="shared" si="77"/>
        <v>1</v>
      </c>
      <c r="C169" s="80" t="b">
        <f t="shared" si="77"/>
        <v>1</v>
      </c>
      <c r="D169" s="79" t="s">
        <v>707</v>
      </c>
      <c r="E169" s="81">
        <f t="shared" si="70"/>
        <v>0.02</v>
      </c>
      <c r="F169" s="81">
        <v>1</v>
      </c>
      <c r="G169" s="81" t="s">
        <v>105</v>
      </c>
      <c r="H169" s="83" t="s">
        <v>219</v>
      </c>
      <c r="I169" s="82" t="s">
        <v>21</v>
      </c>
      <c r="J169" s="81">
        <v>0</v>
      </c>
      <c r="K169" s="81" t="s">
        <v>105</v>
      </c>
      <c r="L169" s="83">
        <f>inp_scr_max</f>
        <v>30</v>
      </c>
      <c r="M169" s="83" t="str">
        <f>inp_xr_max</f>
        <v>Demand</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25">
      <c r="A170" s="1">
        <v>168</v>
      </c>
      <c r="B170" s="80" t="b">
        <f t="shared" si="77"/>
        <v>1</v>
      </c>
      <c r="C170" s="80" t="b">
        <f t="shared" si="77"/>
        <v>1</v>
      </c>
      <c r="D170" s="79" t="s">
        <v>708</v>
      </c>
      <c r="E170" s="81">
        <f t="shared" si="70"/>
        <v>0.02</v>
      </c>
      <c r="F170" s="81">
        <v>1</v>
      </c>
      <c r="G170" s="81" t="s">
        <v>105</v>
      </c>
      <c r="H170" s="83" t="s">
        <v>219</v>
      </c>
      <c r="I170" s="82" t="s">
        <v>21</v>
      </c>
      <c r="J170" s="81">
        <v>0</v>
      </c>
      <c r="K170" s="81" t="s">
        <v>105</v>
      </c>
      <c r="L170" s="83">
        <f t="shared" ref="L170:L177" si="78">inp_scr_min</f>
        <v>10</v>
      </c>
      <c r="M170" s="83">
        <f t="shared" ref="M170:M178" si="79">inp_xr_min</f>
        <v>0.5</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25">
      <c r="A171" s="1">
        <v>169</v>
      </c>
      <c r="B171" s="80" t="b">
        <f t="shared" si="77"/>
        <v>1</v>
      </c>
      <c r="C171" s="80" t="b">
        <f t="shared" si="77"/>
        <v>1</v>
      </c>
      <c r="D171" s="79" t="s">
        <v>709</v>
      </c>
      <c r="E171" s="81">
        <f t="shared" si="70"/>
        <v>0.02</v>
      </c>
      <c r="F171" s="81">
        <v>1</v>
      </c>
      <c r="G171" s="81" t="s">
        <v>105</v>
      </c>
      <c r="H171" s="83" t="s">
        <v>219</v>
      </c>
      <c r="I171" s="82" t="s">
        <v>21</v>
      </c>
      <c r="J171" s="81">
        <v>0</v>
      </c>
      <c r="K171" s="81" t="s">
        <v>105</v>
      </c>
      <c r="L171" s="83">
        <f t="shared" si="78"/>
        <v>10</v>
      </c>
      <c r="M171" s="83">
        <f t="shared" si="79"/>
        <v>0.5</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25">
      <c r="A172" s="1">
        <v>170</v>
      </c>
      <c r="B172" s="80" t="b">
        <f t="shared" si="77"/>
        <v>1</v>
      </c>
      <c r="C172" s="80" t="b">
        <f t="shared" si="77"/>
        <v>1</v>
      </c>
      <c r="D172" s="79" t="s">
        <v>710</v>
      </c>
      <c r="E172" s="81">
        <f t="shared" si="70"/>
        <v>0.02</v>
      </c>
      <c r="F172" s="81">
        <v>1</v>
      </c>
      <c r="G172" s="81" t="s">
        <v>105</v>
      </c>
      <c r="H172" s="83" t="s">
        <v>219</v>
      </c>
      <c r="I172" s="82" t="s">
        <v>21</v>
      </c>
      <c r="J172" s="81">
        <v>0</v>
      </c>
      <c r="K172" s="81" t="s">
        <v>105</v>
      </c>
      <c r="L172" s="83">
        <f t="shared" si="78"/>
        <v>10</v>
      </c>
      <c r="M172" s="83">
        <f t="shared" si="79"/>
        <v>0.5</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25">
      <c r="A173" s="1">
        <v>171</v>
      </c>
      <c r="B173" s="80" t="b">
        <f t="shared" si="77"/>
        <v>1</v>
      </c>
      <c r="C173" s="80" t="b">
        <f t="shared" si="77"/>
        <v>1</v>
      </c>
      <c r="D173" s="79" t="s">
        <v>711</v>
      </c>
      <c r="E173" s="81">
        <f t="shared" si="70"/>
        <v>0.02</v>
      </c>
      <c r="F173" s="81">
        <v>1</v>
      </c>
      <c r="G173" s="81" t="s">
        <v>105</v>
      </c>
      <c r="H173" s="83" t="s">
        <v>219</v>
      </c>
      <c r="I173" s="82" t="s">
        <v>21</v>
      </c>
      <c r="J173" s="81">
        <v>0</v>
      </c>
      <c r="K173" s="81" t="s">
        <v>105</v>
      </c>
      <c r="L173" s="83">
        <f t="shared" si="78"/>
        <v>10</v>
      </c>
      <c r="M173" s="83">
        <f t="shared" si="79"/>
        <v>0.5</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25">
      <c r="A174" s="1">
        <v>172</v>
      </c>
      <c r="B174" s="80" t="b">
        <f t="shared" si="77"/>
        <v>1</v>
      </c>
      <c r="C174" s="80" t="b">
        <f t="shared" si="77"/>
        <v>1</v>
      </c>
      <c r="D174" s="79" t="s">
        <v>712</v>
      </c>
      <c r="E174" s="81">
        <f t="shared" si="70"/>
        <v>0.02</v>
      </c>
      <c r="F174" s="81">
        <v>0.7</v>
      </c>
      <c r="G174" s="81" t="s">
        <v>105</v>
      </c>
      <c r="H174" s="83" t="s">
        <v>219</v>
      </c>
      <c r="I174" s="82" t="s">
        <v>21</v>
      </c>
      <c r="J174" s="81">
        <v>0</v>
      </c>
      <c r="K174" s="81" t="s">
        <v>105</v>
      </c>
      <c r="L174" s="83">
        <f t="shared" si="78"/>
        <v>10</v>
      </c>
      <c r="M174" s="83">
        <f t="shared" si="79"/>
        <v>0.5</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25">
      <c r="A175" s="1">
        <v>173</v>
      </c>
      <c r="B175" s="80" t="b">
        <f t="shared" si="77"/>
        <v>1</v>
      </c>
      <c r="C175" s="80" t="b">
        <f t="shared" si="77"/>
        <v>1</v>
      </c>
      <c r="D175" s="79" t="s">
        <v>713</v>
      </c>
      <c r="E175" s="81">
        <f t="shared" si="70"/>
        <v>0.02</v>
      </c>
      <c r="F175" s="81">
        <v>0.7</v>
      </c>
      <c r="G175" s="81" t="s">
        <v>105</v>
      </c>
      <c r="H175" s="83" t="s">
        <v>219</v>
      </c>
      <c r="I175" s="82" t="s">
        <v>21</v>
      </c>
      <c r="J175" s="81">
        <v>0</v>
      </c>
      <c r="K175" s="81" t="s">
        <v>105</v>
      </c>
      <c r="L175" s="83">
        <f t="shared" si="78"/>
        <v>10</v>
      </c>
      <c r="M175" s="83">
        <f t="shared" si="79"/>
        <v>0.5</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25">
      <c r="A176" s="1">
        <v>174</v>
      </c>
      <c r="B176" s="80" t="b">
        <f t="shared" si="77"/>
        <v>1</v>
      </c>
      <c r="C176" s="80" t="b">
        <f t="shared" si="77"/>
        <v>1</v>
      </c>
      <c r="D176" s="79" t="s">
        <v>714</v>
      </c>
      <c r="E176" s="81">
        <f t="shared" si="70"/>
        <v>0.02</v>
      </c>
      <c r="F176" s="81">
        <v>0.7</v>
      </c>
      <c r="G176" s="81" t="s">
        <v>105</v>
      </c>
      <c r="H176" s="83" t="s">
        <v>219</v>
      </c>
      <c r="I176" s="82" t="s">
        <v>21</v>
      </c>
      <c r="J176" s="81">
        <v>0</v>
      </c>
      <c r="K176" s="81" t="s">
        <v>105</v>
      </c>
      <c r="L176" s="83">
        <f t="shared" si="78"/>
        <v>10</v>
      </c>
      <c r="M176" s="83">
        <f t="shared" si="79"/>
        <v>0.5</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25">
      <c r="A177" s="1">
        <v>175</v>
      </c>
      <c r="B177" s="80" t="b">
        <f t="shared" si="77"/>
        <v>1</v>
      </c>
      <c r="C177" s="80" t="b">
        <f t="shared" si="77"/>
        <v>1</v>
      </c>
      <c r="D177" s="79" t="s">
        <v>728</v>
      </c>
      <c r="E177" s="81">
        <f t="shared" si="70"/>
        <v>0.02</v>
      </c>
      <c r="F177" s="81">
        <v>0.7</v>
      </c>
      <c r="G177" s="81" t="s">
        <v>105</v>
      </c>
      <c r="H177" s="83" t="s">
        <v>219</v>
      </c>
      <c r="I177" s="82" t="s">
        <v>21</v>
      </c>
      <c r="J177" s="81">
        <v>0</v>
      </c>
      <c r="K177" s="81" t="s">
        <v>105</v>
      </c>
      <c r="L177" s="83">
        <f t="shared" si="78"/>
        <v>10</v>
      </c>
      <c r="M177" s="83">
        <f t="shared" si="79"/>
        <v>0.5</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25">
      <c r="A178" s="1">
        <v>176</v>
      </c>
      <c r="B178" s="80" t="b">
        <f t="shared" si="77"/>
        <v>1</v>
      </c>
      <c r="C178" s="80" t="b">
        <f t="shared" si="77"/>
        <v>1</v>
      </c>
      <c r="D178" s="79" t="s">
        <v>715</v>
      </c>
      <c r="E178" s="81">
        <f t="shared" si="70"/>
        <v>0.02</v>
      </c>
      <c r="F178" s="81">
        <v>1</v>
      </c>
      <c r="G178" s="81" t="s">
        <v>105</v>
      </c>
      <c r="H178" s="83" t="s">
        <v>219</v>
      </c>
      <c r="I178" s="82" t="s">
        <v>21</v>
      </c>
      <c r="J178" s="81">
        <v>0</v>
      </c>
      <c r="K178" s="81" t="s">
        <v>105</v>
      </c>
      <c r="L178" s="83">
        <f>inp_scr_min</f>
        <v>10</v>
      </c>
      <c r="M178" s="83">
        <f t="shared" si="79"/>
        <v>0.5</v>
      </c>
      <c r="N178" s="83" t="s">
        <v>732</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25">
      <c r="B179" s="80"/>
      <c r="C179" s="80"/>
      <c r="D179" s="79"/>
      <c r="E179" s="81"/>
      <c r="F179" s="81"/>
      <c r="G179" s="81"/>
      <c r="H179" s="83"/>
      <c r="I179" s="82"/>
      <c r="J179" s="81"/>
      <c r="K179" s="81"/>
      <c r="L179" s="83"/>
      <c r="M179" s="83"/>
      <c r="N179" s="83"/>
      <c r="O179" s="101"/>
      <c r="P179" s="113"/>
      <c r="Q179" s="116"/>
      <c r="R179" s="116"/>
      <c r="S179" s="116"/>
      <c r="T179" s="79"/>
      <c r="U179" s="81"/>
      <c r="V179" s="200"/>
      <c r="W179" s="81"/>
      <c r="Z179" s="88"/>
      <c r="AA179" s="88"/>
      <c r="AD179" s="5"/>
      <c r="AE179" s="5"/>
      <c r="AH179" s="88"/>
      <c r="AI179" s="88"/>
      <c r="AL179" s="5"/>
      <c r="AM179" s="5"/>
      <c r="AP179" s="88"/>
      <c r="AQ179" s="88"/>
      <c r="AT179" s="5"/>
      <c r="AU179" s="5"/>
      <c r="AX179" s="88"/>
      <c r="AY179" s="88"/>
      <c r="BB179" s="5"/>
      <c r="BC179" s="5"/>
      <c r="BF179" s="88"/>
      <c r="BG179" s="88"/>
      <c r="BJ179" s="5"/>
      <c r="BK179" s="67"/>
      <c r="BN179" s="88"/>
      <c r="BO179" s="88"/>
    </row>
    <row r="180" spans="1:67" x14ac:dyDescent="0.25">
      <c r="B180" s="80"/>
      <c r="C180" s="80"/>
      <c r="D180" s="79"/>
      <c r="E180" s="81"/>
      <c r="F180" s="81"/>
      <c r="G180" s="81"/>
      <c r="H180" s="83"/>
      <c r="I180" s="82"/>
      <c r="J180" s="81"/>
      <c r="K180" s="81"/>
      <c r="L180" s="83"/>
      <c r="M180" s="83"/>
      <c r="N180" s="83"/>
      <c r="O180" s="101"/>
      <c r="P180" s="113"/>
      <c r="Q180" s="116"/>
      <c r="R180" s="116"/>
      <c r="S180" s="116"/>
      <c r="T180" s="79"/>
      <c r="U180" s="81"/>
      <c r="V180" s="200"/>
      <c r="W180" s="81"/>
      <c r="Z180" s="88"/>
      <c r="AA180" s="88"/>
      <c r="AD180" s="5"/>
      <c r="AE180" s="5"/>
      <c r="AH180" s="88"/>
      <c r="AI180" s="88"/>
      <c r="AX180" s="88"/>
      <c r="AY180" s="88"/>
      <c r="BB180" s="5"/>
      <c r="BC180" s="5"/>
      <c r="BF180" s="88"/>
      <c r="BG180" s="88"/>
      <c r="BN180" s="88"/>
      <c r="BO180" s="88"/>
    </row>
    <row r="181" spans="1:67" x14ac:dyDescent="0.25">
      <c r="B181" s="80"/>
      <c r="C181" s="80"/>
      <c r="D181" s="79"/>
      <c r="E181" s="81"/>
      <c r="F181" s="81"/>
      <c r="G181" s="81"/>
      <c r="H181" s="83"/>
      <c r="I181" s="82"/>
      <c r="J181" s="81"/>
      <c r="K181" s="81"/>
      <c r="L181" s="83"/>
      <c r="M181" s="83"/>
      <c r="N181" s="83"/>
      <c r="O181" s="101"/>
      <c r="P181" s="113"/>
      <c r="Q181" s="116"/>
      <c r="R181" s="116"/>
      <c r="S181" s="116"/>
      <c r="T181" s="79"/>
      <c r="U181" s="81"/>
      <c r="V181" s="200"/>
      <c r="W181" s="81"/>
      <c r="Z181" s="88"/>
      <c r="AA181" s="88"/>
      <c r="AD181" s="5"/>
      <c r="AE181" s="5"/>
      <c r="AH181" s="88"/>
      <c r="AI181" s="88"/>
      <c r="BB181" s="5"/>
      <c r="BC181" s="5"/>
      <c r="BF181" s="88"/>
      <c r="BG181" s="88"/>
      <c r="BN181" s="88"/>
      <c r="BO181" s="88"/>
    </row>
    <row r="182" spans="1:67" x14ac:dyDescent="0.25">
      <c r="B182" s="80"/>
      <c r="C182" s="80"/>
      <c r="D182" s="79"/>
      <c r="E182" s="81"/>
      <c r="F182" s="81"/>
      <c r="G182" s="81"/>
      <c r="H182" s="83"/>
      <c r="I182" s="82"/>
      <c r="J182" s="81"/>
      <c r="K182" s="81"/>
      <c r="L182" s="83"/>
      <c r="M182" s="83"/>
      <c r="N182" s="83"/>
      <c r="O182" s="101"/>
      <c r="P182" s="113"/>
      <c r="Q182" s="116"/>
      <c r="R182" s="116"/>
      <c r="S182" s="116"/>
      <c r="T182" s="79"/>
      <c r="U182" s="81"/>
      <c r="V182" s="200"/>
      <c r="W182" s="81"/>
      <c r="Z182" s="88"/>
      <c r="AA182" s="88"/>
      <c r="AD182" s="5"/>
      <c r="AE182" s="5"/>
      <c r="AH182" s="88"/>
      <c r="AI182" s="88"/>
    </row>
    <row r="183" spans="1:67" x14ac:dyDescent="0.25">
      <c r="B183" s="80"/>
      <c r="C183" s="80"/>
      <c r="D183" s="79"/>
      <c r="E183" s="81"/>
      <c r="F183" s="81"/>
      <c r="G183" s="81"/>
      <c r="H183" s="83"/>
      <c r="I183" s="82"/>
      <c r="J183" s="81"/>
      <c r="K183" s="81"/>
      <c r="L183" s="83"/>
      <c r="M183" s="83"/>
      <c r="N183" s="83"/>
      <c r="O183" s="101"/>
      <c r="P183" s="113"/>
      <c r="Q183" s="116"/>
      <c r="R183" s="116"/>
      <c r="S183" s="116"/>
      <c r="T183" s="79"/>
      <c r="U183" s="81"/>
      <c r="V183" s="200"/>
      <c r="W183" s="81"/>
      <c r="Z183" s="88"/>
      <c r="AA183" s="88"/>
      <c r="AD183" s="5"/>
      <c r="AE183" s="5"/>
      <c r="AH183" s="88"/>
      <c r="AI183" s="88"/>
    </row>
    <row r="184" spans="1:67" x14ac:dyDescent="0.25">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25">
      <c r="B185" s="80"/>
      <c r="C185" s="80"/>
      <c r="D185" s="79"/>
      <c r="E185" s="81"/>
      <c r="F185" s="81"/>
      <c r="G185" s="81"/>
      <c r="H185" s="83"/>
      <c r="I185" s="82"/>
      <c r="J185" s="81"/>
      <c r="K185" s="81"/>
      <c r="L185" s="83"/>
      <c r="M185" s="83"/>
      <c r="N185" s="83"/>
      <c r="O185" s="101"/>
      <c r="P185" s="113"/>
      <c r="Q185" s="116"/>
      <c r="R185" s="116"/>
      <c r="S185" s="116"/>
      <c r="T185" s="79"/>
      <c r="U185" s="81"/>
      <c r="V185" s="200"/>
      <c r="W185" s="81"/>
      <c r="Z185" s="88"/>
      <c r="AA185" s="88"/>
      <c r="AD185" s="5"/>
      <c r="AE185" s="5"/>
      <c r="AH185" s="88"/>
      <c r="AI185" s="88"/>
    </row>
    <row r="186" spans="1:67" x14ac:dyDescent="0.25">
      <c r="B186" s="80"/>
      <c r="C186" s="80"/>
      <c r="D186" s="79"/>
      <c r="E186" s="81"/>
      <c r="F186" s="81"/>
      <c r="G186" s="81"/>
      <c r="H186" s="83"/>
      <c r="I186" s="82"/>
      <c r="J186" s="81"/>
      <c r="K186" s="81"/>
      <c r="L186" s="83"/>
      <c r="M186" s="83"/>
      <c r="N186" s="83"/>
      <c r="O186" s="101"/>
      <c r="P186" s="113"/>
      <c r="Q186" s="116"/>
      <c r="R186" s="116"/>
      <c r="S186" s="116"/>
      <c r="T186" s="79"/>
      <c r="U186" s="81"/>
      <c r="V186" s="200"/>
      <c r="W186" s="81"/>
      <c r="Z186" s="88"/>
      <c r="AA186" s="88"/>
      <c r="AD186" s="5"/>
      <c r="AE186" s="5"/>
      <c r="AH186" s="88"/>
      <c r="AI186" s="88"/>
    </row>
    <row r="187" spans="1:67" x14ac:dyDescent="0.25">
      <c r="O187" s="6"/>
      <c r="AD187" s="5"/>
      <c r="AE187" s="5"/>
      <c r="AH187" s="88"/>
      <c r="AI187" s="88"/>
    </row>
    <row r="188" spans="1:67" x14ac:dyDescent="0.25">
      <c r="O188" s="6"/>
      <c r="AH188" s="88"/>
      <c r="AI188" s="88"/>
    </row>
    <row r="189" spans="1:67" x14ac:dyDescent="0.25">
      <c r="O189" s="6"/>
      <c r="AH189" s="88"/>
      <c r="AI189" s="88"/>
    </row>
    <row r="190" spans="1:67" x14ac:dyDescent="0.25">
      <c r="O190" s="6"/>
      <c r="AH190" s="88"/>
      <c r="AI190" s="88"/>
    </row>
    <row r="191" spans="1:67" x14ac:dyDescent="0.25">
      <c r="O191" s="6"/>
      <c r="AH191" s="88"/>
      <c r="AI191" s="88"/>
    </row>
    <row r="192" spans="1:67" x14ac:dyDescent="0.25">
      <c r="O192" s="6"/>
      <c r="AH192" s="88"/>
      <c r="AI192" s="88"/>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types'!$A$2:$A$949</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types'!$A$2:$A$282</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types'!$A$2:$A$110</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types'!$A$2:$A$102</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P180"/>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bestFit="1" customWidth="1"/>
    <col min="8" max="8" width="11.5703125" style="1" bestFit="1" customWidth="1"/>
    <col min="9" max="9" width="10.140625" style="1" bestFit="1" customWidth="1"/>
    <col min="10" max="10" width="14" style="1" bestFit="1" customWidth="1"/>
    <col min="11" max="11" width="9.42578125" style="1" bestFit="1" customWidth="1"/>
    <col min="12" max="12" width="8.42578125" style="1" bestFit="1" customWidth="1"/>
    <col min="13" max="13" width="14.5703125" style="1" bestFit="1" customWidth="1"/>
    <col min="14" max="14" width="18.42578125" style="1" bestFit="1" customWidth="1"/>
    <col min="15" max="15" width="22.85546875" style="18" bestFit="1" customWidth="1"/>
    <col min="16" max="16" width="9.7109375" style="18" bestFit="1" customWidth="1"/>
    <col min="17" max="17" width="35" style="18" bestFit="1" customWidth="1"/>
    <col min="18" max="18" width="16.5703125" style="18" bestFit="1" customWidth="1"/>
    <col min="19" max="19" width="17.5703125" style="1" bestFit="1" customWidth="1"/>
    <col min="20" max="20" width="9.7109375" style="1" bestFit="1" customWidth="1"/>
    <col min="21" max="21" width="25" style="1" bestFit="1" customWidth="1"/>
    <col min="22" max="22" width="16.5703125" style="1" bestFit="1" customWidth="1"/>
    <col min="23" max="23" width="12" style="18" bestFit="1" customWidth="1"/>
    <col min="24" max="24" width="9.7109375" style="18" bestFit="1" customWidth="1"/>
    <col min="25" max="25" width="12.42578125" style="18" bestFit="1" customWidth="1"/>
    <col min="26" max="26" width="16.5703125" style="18" bestFit="1" customWidth="1"/>
    <col min="27" max="27" width="12" style="1" bestFit="1" customWidth="1"/>
    <col min="28" max="28" width="9.7109375" style="1" bestFit="1" customWidth="1"/>
    <col min="29" max="29" width="12.42578125" style="1" bestFit="1" customWidth="1"/>
    <col min="30" max="30" width="16.5703125" style="1" bestFit="1" customWidth="1"/>
    <col min="31" max="31" width="12" style="18" bestFit="1" customWidth="1"/>
    <col min="32" max="32" width="9.7109375" style="18" bestFit="1" customWidth="1"/>
    <col min="33" max="33" width="12.42578125" style="18" bestFit="1" customWidth="1"/>
    <col min="34" max="34" width="16.5703125" style="18" bestFit="1" customWidth="1"/>
    <col min="35" max="35" width="12" style="1" bestFit="1" customWidth="1"/>
    <col min="36" max="36" width="9.7109375" style="1" bestFit="1" customWidth="1"/>
    <col min="37" max="37" width="12.42578125" style="1" bestFit="1" customWidth="1"/>
    <col min="38" max="38" width="16.5703125" style="1" bestFit="1" customWidth="1"/>
    <col min="39" max="39" width="10.7109375" style="18" bestFit="1" customWidth="1"/>
    <col min="40" max="40" width="9.7109375" style="18" bestFit="1" customWidth="1"/>
    <col min="41" max="41" width="12.42578125" style="18" bestFit="1" customWidth="1"/>
    <col min="42" max="42" width="16.5703125" style="18" bestFit="1" customWidth="1"/>
    <col min="43" max="43" width="11.28515625" style="1" customWidth="1"/>
    <col min="44" max="44" width="9.7109375" style="1" bestFit="1" customWidth="1"/>
    <col min="45" max="45" width="12.42578125" style="1" bestFit="1" customWidth="1"/>
    <col min="46" max="46" width="16.5703125" style="1" bestFit="1" customWidth="1"/>
    <col min="47" max="47" width="12.42578125" style="18" customWidth="1"/>
    <col min="48" max="48" width="9.7109375" style="18" bestFit="1" customWidth="1"/>
    <col min="49" max="49" width="12.42578125" style="18" bestFit="1" customWidth="1"/>
    <col min="50" max="50" width="16.5703125" style="18" bestFit="1" customWidth="1"/>
    <col min="51" max="51" width="12.5703125" style="1" customWidth="1"/>
    <col min="52" max="52" width="9.7109375" style="1" bestFit="1" customWidth="1"/>
    <col min="53" max="53" width="12.42578125" style="1" bestFit="1" customWidth="1"/>
    <col min="54" max="54" width="16.5703125" style="1" bestFit="1" customWidth="1"/>
    <col min="55" max="55" width="12.85546875" style="18" customWidth="1"/>
    <col min="56" max="56" width="9.7109375" style="18" bestFit="1" customWidth="1"/>
    <col min="57" max="57" width="12.42578125" style="18" bestFit="1" customWidth="1"/>
    <col min="58" max="58" width="16.5703125" style="18" bestFit="1" customWidth="1"/>
    <col min="59" max="59" width="13" style="1" customWidth="1"/>
    <col min="60" max="60" width="9.7109375" style="1" bestFit="1" customWidth="1"/>
    <col min="61" max="61" width="12.42578125" style="1" bestFit="1" customWidth="1"/>
    <col min="62" max="62" width="16.5703125" style="1" bestFit="1" customWidth="1"/>
    <col min="63" max="16384" width="9.140625" style="1"/>
  </cols>
  <sheetData>
    <row r="1" spans="1:94" x14ac:dyDescent="0.25">
      <c r="A1" s="389" t="s">
        <v>492</v>
      </c>
      <c r="B1" s="389"/>
      <c r="C1" s="389"/>
      <c r="D1" s="389"/>
      <c r="E1" s="390" t="s">
        <v>493</v>
      </c>
      <c r="F1" s="391"/>
      <c r="G1" s="391"/>
      <c r="H1" s="391"/>
      <c r="I1" s="391"/>
      <c r="J1" s="391"/>
      <c r="K1" s="391"/>
      <c r="L1" s="391"/>
      <c r="M1" s="391"/>
      <c r="N1" s="392"/>
      <c r="O1" s="396" t="s">
        <v>77</v>
      </c>
      <c r="P1" s="397"/>
      <c r="Q1" s="397"/>
      <c r="R1" s="398"/>
      <c r="S1" s="390" t="s">
        <v>78</v>
      </c>
      <c r="T1" s="391"/>
      <c r="U1" s="391"/>
      <c r="V1" s="391"/>
      <c r="W1" s="396" t="s">
        <v>79</v>
      </c>
      <c r="X1" s="397"/>
      <c r="Y1" s="397"/>
      <c r="Z1" s="398"/>
      <c r="AA1" s="393" t="s">
        <v>80</v>
      </c>
      <c r="AB1" s="394"/>
      <c r="AC1" s="394"/>
      <c r="AD1" s="395"/>
      <c r="AE1" s="396" t="s">
        <v>81</v>
      </c>
      <c r="AF1" s="397"/>
      <c r="AG1" s="397"/>
      <c r="AH1" s="398"/>
      <c r="AI1" s="393" t="s">
        <v>82</v>
      </c>
      <c r="AJ1" s="394"/>
      <c r="AK1" s="394"/>
      <c r="AL1" s="395"/>
      <c r="AM1" s="396" t="s">
        <v>83</v>
      </c>
      <c r="AN1" s="397"/>
      <c r="AO1" s="397"/>
      <c r="AP1" s="398"/>
      <c r="AQ1" s="393" t="s">
        <v>84</v>
      </c>
      <c r="AR1" s="394"/>
      <c r="AS1" s="394"/>
      <c r="AT1" s="395"/>
      <c r="AU1" s="396" t="s">
        <v>85</v>
      </c>
      <c r="AV1" s="397"/>
      <c r="AW1" s="397"/>
      <c r="AX1" s="398"/>
      <c r="AY1" s="393" t="s">
        <v>86</v>
      </c>
      <c r="AZ1" s="394"/>
      <c r="BA1" s="394"/>
      <c r="BB1" s="395"/>
      <c r="BC1" s="396" t="s">
        <v>87</v>
      </c>
      <c r="BD1" s="397"/>
      <c r="BE1" s="397"/>
      <c r="BF1" s="398"/>
      <c r="BG1" s="393" t="s">
        <v>88</v>
      </c>
      <c r="BH1" s="394"/>
      <c r="BI1" s="394"/>
      <c r="BJ1" s="395"/>
    </row>
    <row r="2" spans="1:94" s="11" customFormat="1" ht="30" customHeight="1" x14ac:dyDescent="0.25">
      <c r="A2" s="9" t="s">
        <v>89</v>
      </c>
      <c r="B2" s="10" t="s">
        <v>90</v>
      </c>
      <c r="C2" s="10" t="s">
        <v>91</v>
      </c>
      <c r="D2" s="11" t="s">
        <v>92</v>
      </c>
      <c r="E2" s="12" t="s">
        <v>93</v>
      </c>
      <c r="F2" s="12" t="s">
        <v>94</v>
      </c>
      <c r="G2" s="12" t="s">
        <v>225</v>
      </c>
      <c r="H2" s="12" t="s">
        <v>96</v>
      </c>
      <c r="I2" s="12" t="s">
        <v>97</v>
      </c>
      <c r="J2" s="12" t="s">
        <v>547</v>
      </c>
      <c r="K2" s="12" t="s">
        <v>98</v>
      </c>
      <c r="L2" s="12" t="s">
        <v>99</v>
      </c>
      <c r="M2" s="12" t="s">
        <v>731</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25">
      <c r="A3" s="118">
        <v>1001</v>
      </c>
      <c r="B3" s="11" t="b">
        <v>1</v>
      </c>
      <c r="C3" s="117" t="b">
        <v>1</v>
      </c>
      <c r="D3" s="118" t="s">
        <v>843</v>
      </c>
      <c r="E3" s="24">
        <f t="shared" ref="E3:E7" si="0">inp_Uc/inp_Un</f>
        <v>0.02</v>
      </c>
      <c r="F3" s="119">
        <v>0</v>
      </c>
      <c r="G3" s="119" t="s">
        <v>218</v>
      </c>
      <c r="H3" s="119" t="s">
        <v>105</v>
      </c>
      <c r="I3" s="119">
        <v>0</v>
      </c>
      <c r="J3" s="119" t="s">
        <v>105</v>
      </c>
      <c r="K3" s="119">
        <f t="shared" ref="K3:K7" si="1">inp_scr_min</f>
        <v>10</v>
      </c>
      <c r="L3" s="119">
        <f t="shared" ref="L3:L7" si="2">inp_xr_min</f>
        <v>0.5</v>
      </c>
      <c r="M3" s="119" t="s">
        <v>105</v>
      </c>
      <c r="N3" s="121">
        <v>60</v>
      </c>
      <c r="O3" s="122" t="s">
        <v>120</v>
      </c>
      <c r="P3" s="262"/>
      <c r="Q3" s="262"/>
    </row>
    <row r="4" spans="1:94" x14ac:dyDescent="0.25">
      <c r="A4" s="118">
        <v>1002</v>
      </c>
      <c r="B4" s="11" t="b">
        <v>1</v>
      </c>
      <c r="C4" s="117" t="b">
        <v>1</v>
      </c>
      <c r="D4" s="118" t="s">
        <v>844</v>
      </c>
      <c r="E4" s="24">
        <f t="shared" si="0"/>
        <v>0.02</v>
      </c>
      <c r="F4" s="119">
        <v>0.25</v>
      </c>
      <c r="G4" s="119" t="s">
        <v>218</v>
      </c>
      <c r="H4" s="119" t="s">
        <v>105</v>
      </c>
      <c r="I4" s="119">
        <v>0</v>
      </c>
      <c r="J4" s="119" t="s">
        <v>105</v>
      </c>
      <c r="K4" s="119">
        <f t="shared" si="1"/>
        <v>10</v>
      </c>
      <c r="L4" s="119">
        <f t="shared" si="2"/>
        <v>0.5</v>
      </c>
      <c r="M4" s="119" t="s">
        <v>105</v>
      </c>
      <c r="N4" s="121">
        <v>60</v>
      </c>
      <c r="O4" s="122" t="s">
        <v>120</v>
      </c>
      <c r="P4" s="261"/>
      <c r="Q4" s="325"/>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2"/>
    </row>
    <row r="5" spans="1:94" x14ac:dyDescent="0.25">
      <c r="A5" s="118">
        <v>1003</v>
      </c>
      <c r="B5" s="11" t="b">
        <v>1</v>
      </c>
      <c r="C5" s="117" t="b">
        <v>1</v>
      </c>
      <c r="D5" s="118" t="s">
        <v>845</v>
      </c>
      <c r="E5" s="24">
        <f t="shared" si="0"/>
        <v>0.02</v>
      </c>
      <c r="F5" s="119">
        <v>0.5</v>
      </c>
      <c r="G5" s="119" t="s">
        <v>218</v>
      </c>
      <c r="H5" s="119" t="s">
        <v>105</v>
      </c>
      <c r="I5" s="119">
        <v>0</v>
      </c>
      <c r="J5" s="119" t="s">
        <v>105</v>
      </c>
      <c r="K5" s="119">
        <f t="shared" si="1"/>
        <v>10</v>
      </c>
      <c r="L5" s="119">
        <f t="shared" si="2"/>
        <v>0.5</v>
      </c>
      <c r="M5" s="119" t="s">
        <v>105</v>
      </c>
      <c r="N5" s="121">
        <v>60</v>
      </c>
      <c r="O5" s="122" t="s">
        <v>120</v>
      </c>
      <c r="P5" s="261"/>
      <c r="Q5" s="325"/>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2"/>
    </row>
    <row r="6" spans="1:94" x14ac:dyDescent="0.25">
      <c r="A6" s="118">
        <v>1004</v>
      </c>
      <c r="B6" s="11" t="b">
        <v>1</v>
      </c>
      <c r="C6" s="117" t="b">
        <v>1</v>
      </c>
      <c r="D6" s="118" t="s">
        <v>846</v>
      </c>
      <c r="E6" s="24">
        <f>inp_Uc/inp_Un</f>
        <v>0.02</v>
      </c>
      <c r="F6" s="119">
        <v>0.75</v>
      </c>
      <c r="G6" s="119" t="s">
        <v>218</v>
      </c>
      <c r="H6" s="119" t="s">
        <v>105</v>
      </c>
      <c r="I6" s="119">
        <v>0</v>
      </c>
      <c r="J6" s="119" t="s">
        <v>105</v>
      </c>
      <c r="K6" s="119">
        <f t="shared" si="1"/>
        <v>10</v>
      </c>
      <c r="L6" s="119">
        <f t="shared" si="2"/>
        <v>0.5</v>
      </c>
      <c r="M6" s="119" t="s">
        <v>105</v>
      </c>
      <c r="N6" s="121">
        <v>60</v>
      </c>
      <c r="O6" s="122" t="s">
        <v>120</v>
      </c>
      <c r="P6" s="261"/>
      <c r="Q6" s="325"/>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2"/>
    </row>
    <row r="7" spans="1:94" x14ac:dyDescent="0.25">
      <c r="A7" s="118">
        <v>1005</v>
      </c>
      <c r="B7" s="11" t="b">
        <v>1</v>
      </c>
      <c r="C7" s="117" t="b">
        <v>1</v>
      </c>
      <c r="D7" s="118" t="s">
        <v>847</v>
      </c>
      <c r="E7" s="24">
        <f t="shared" si="0"/>
        <v>0.02</v>
      </c>
      <c r="F7" s="119">
        <v>1</v>
      </c>
      <c r="G7" s="119" t="s">
        <v>218</v>
      </c>
      <c r="H7" s="119" t="s">
        <v>105</v>
      </c>
      <c r="I7" s="119">
        <v>0</v>
      </c>
      <c r="J7" s="119" t="s">
        <v>105</v>
      </c>
      <c r="K7" s="119">
        <f t="shared" si="1"/>
        <v>10</v>
      </c>
      <c r="L7" s="119">
        <f t="shared" si="2"/>
        <v>0.5</v>
      </c>
      <c r="M7" s="119" t="s">
        <v>105</v>
      </c>
      <c r="N7" s="121">
        <v>60</v>
      </c>
      <c r="O7" s="122" t="s">
        <v>120</v>
      </c>
      <c r="P7" s="261"/>
      <c r="Q7" s="325"/>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2"/>
    </row>
    <row r="8" spans="1:94" x14ac:dyDescent="0.25">
      <c r="A8" s="118">
        <v>1006</v>
      </c>
      <c r="B8" s="11" t="b">
        <v>1</v>
      </c>
      <c r="C8" s="117" t="b">
        <v>1</v>
      </c>
      <c r="D8" s="118" t="s">
        <v>238</v>
      </c>
      <c r="E8" s="24">
        <f t="shared" ref="E8:E64" si="3">inp_Uc/inp_Un</f>
        <v>0.02</v>
      </c>
      <c r="F8" s="24">
        <v>1</v>
      </c>
      <c r="G8" s="119" t="s">
        <v>218</v>
      </c>
      <c r="H8" s="120" t="s">
        <v>105</v>
      </c>
      <c r="I8" s="24">
        <f t="shared" ref="I8:I10" si="4">IF(inp_default="Q(U)",E8,IF(inp_default="PF",1,0))</f>
        <v>0</v>
      </c>
      <c r="J8" s="24" t="s">
        <v>105</v>
      </c>
      <c r="K8" s="119">
        <f t="shared" ref="K8:K24" si="5">inp_scr_min</f>
        <v>10</v>
      </c>
      <c r="L8" s="119">
        <f t="shared" ref="L8:L24" si="6">inp_xr_min</f>
        <v>0.5</v>
      </c>
      <c r="M8" s="119" t="s">
        <v>105</v>
      </c>
      <c r="N8" s="121">
        <v>12</v>
      </c>
      <c r="O8" s="261" t="s">
        <v>115</v>
      </c>
      <c r="P8" s="261">
        <v>0</v>
      </c>
      <c r="Q8" s="325">
        <f>sel_ures</f>
        <v>0</v>
      </c>
      <c r="R8" s="17">
        <f t="shared" ref="R8" si="7">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2"/>
    </row>
    <row r="9" spans="1:94" x14ac:dyDescent="0.25">
      <c r="A9" s="118">
        <v>1007</v>
      </c>
      <c r="B9" s="11" t="b">
        <v>1</v>
      </c>
      <c r="C9" s="117" t="b">
        <v>1</v>
      </c>
      <c r="D9" s="118" t="s">
        <v>239</v>
      </c>
      <c r="E9" s="24">
        <f t="shared" si="3"/>
        <v>0.02</v>
      </c>
      <c r="F9" s="24">
        <v>1</v>
      </c>
      <c r="G9" s="119" t="s">
        <v>218</v>
      </c>
      <c r="H9" s="120" t="s">
        <v>105</v>
      </c>
      <c r="I9" s="24">
        <f t="shared" si="4"/>
        <v>0</v>
      </c>
      <c r="J9" s="24" t="s">
        <v>105</v>
      </c>
      <c r="K9" s="119">
        <f t="shared" si="5"/>
        <v>10</v>
      </c>
      <c r="L9" s="119">
        <f t="shared" si="6"/>
        <v>0.5</v>
      </c>
      <c r="M9" s="119" t="s">
        <v>105</v>
      </c>
      <c r="N9" s="121">
        <v>12</v>
      </c>
      <c r="O9" s="261" t="s">
        <v>115</v>
      </c>
      <c r="P9" s="261">
        <v>0</v>
      </c>
      <c r="Q9" s="325">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2"/>
    </row>
    <row r="10" spans="1:94" s="8" customFormat="1" x14ac:dyDescent="0.25">
      <c r="A10" s="118">
        <v>1008</v>
      </c>
      <c r="B10" s="11" t="b">
        <v>1</v>
      </c>
      <c r="C10" s="11" t="b">
        <v>1</v>
      </c>
      <c r="D10" s="1" t="s">
        <v>240</v>
      </c>
      <c r="E10" s="5">
        <f t="shared" si="3"/>
        <v>0.02</v>
      </c>
      <c r="F10" s="5">
        <v>1</v>
      </c>
      <c r="G10" s="21" t="s">
        <v>218</v>
      </c>
      <c r="H10" s="20" t="s">
        <v>105</v>
      </c>
      <c r="I10" s="5">
        <f t="shared" si="4"/>
        <v>0</v>
      </c>
      <c r="J10" s="5" t="s">
        <v>105</v>
      </c>
      <c r="K10" s="21">
        <f t="shared" si="5"/>
        <v>10</v>
      </c>
      <c r="L10" s="21">
        <f t="shared" si="6"/>
        <v>0.5</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2"/>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25">
      <c r="A11" s="118">
        <v>1009</v>
      </c>
      <c r="B11" s="11" t="b">
        <v>1</v>
      </c>
      <c r="C11" s="11" t="b">
        <v>1</v>
      </c>
      <c r="D11" s="1" t="s">
        <v>241</v>
      </c>
      <c r="E11" s="5">
        <f>inp_Uc/inp_Un</f>
        <v>0.02</v>
      </c>
      <c r="F11" s="5">
        <v>1</v>
      </c>
      <c r="G11" s="21" t="s">
        <v>218</v>
      </c>
      <c r="H11" s="20" t="s">
        <v>105</v>
      </c>
      <c r="I11" s="5">
        <f t="shared" ref="I11:I36" si="8">IF(inp_default="Q(U)",E11,IF(inp_default="PF",1,0))</f>
        <v>0</v>
      </c>
      <c r="J11" s="5" t="s">
        <v>105</v>
      </c>
      <c r="K11" s="21">
        <f t="shared" si="5"/>
        <v>10</v>
      </c>
      <c r="L11" s="21">
        <f t="shared" si="6"/>
        <v>0.5</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2"/>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25">
      <c r="A12" s="118">
        <v>1010</v>
      </c>
      <c r="B12" s="11" t="b">
        <v>1</v>
      </c>
      <c r="C12" s="11" t="b">
        <v>1</v>
      </c>
      <c r="D12" s="1" t="s">
        <v>242</v>
      </c>
      <c r="E12" s="5">
        <f t="shared" si="3"/>
        <v>0.02</v>
      </c>
      <c r="F12" s="5">
        <v>1</v>
      </c>
      <c r="G12" s="21" t="s">
        <v>218</v>
      </c>
      <c r="H12" s="20" t="s">
        <v>105</v>
      </c>
      <c r="I12" s="5">
        <f t="shared" si="8"/>
        <v>0</v>
      </c>
      <c r="J12" s="5" t="s">
        <v>105</v>
      </c>
      <c r="K12" s="21">
        <f t="shared" si="5"/>
        <v>10</v>
      </c>
      <c r="L12" s="21">
        <f t="shared" si="6"/>
        <v>0.5</v>
      </c>
      <c r="M12" s="21" t="s">
        <v>105</v>
      </c>
      <c r="N12" s="22">
        <v>12</v>
      </c>
      <c r="O12" s="17" t="s">
        <v>116</v>
      </c>
      <c r="P12" s="17">
        <v>0</v>
      </c>
      <c r="Q12" s="70">
        <f>sel_ures</f>
        <v>0</v>
      </c>
      <c r="R12" s="17">
        <f t="shared" ref="R12" si="9">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2"/>
    </row>
    <row r="13" spans="1:94" x14ac:dyDescent="0.25">
      <c r="A13" s="118">
        <v>1011</v>
      </c>
      <c r="B13" s="11" t="b">
        <v>1</v>
      </c>
      <c r="C13" s="11" t="b">
        <v>1</v>
      </c>
      <c r="D13" s="1" t="s">
        <v>243</v>
      </c>
      <c r="E13" s="5">
        <f t="shared" si="3"/>
        <v>0.02</v>
      </c>
      <c r="F13" s="5">
        <v>1</v>
      </c>
      <c r="G13" s="21" t="s">
        <v>218</v>
      </c>
      <c r="H13" s="20" t="s">
        <v>105</v>
      </c>
      <c r="I13" s="5">
        <f t="shared" si="8"/>
        <v>0</v>
      </c>
      <c r="J13" s="5" t="s">
        <v>105</v>
      </c>
      <c r="K13" s="21">
        <f t="shared" si="5"/>
        <v>10</v>
      </c>
      <c r="L13" s="21">
        <f t="shared" si="6"/>
        <v>0.5</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2"/>
    </row>
    <row r="14" spans="1:94" x14ac:dyDescent="0.25">
      <c r="A14" s="118">
        <v>1012</v>
      </c>
      <c r="B14" s="11" t="b">
        <v>1</v>
      </c>
      <c r="C14" s="11" t="b">
        <v>1</v>
      </c>
      <c r="D14" s="1" t="s">
        <v>244</v>
      </c>
      <c r="E14" s="5">
        <f t="shared" si="3"/>
        <v>0.02</v>
      </c>
      <c r="F14" s="5">
        <v>1</v>
      </c>
      <c r="G14" s="21" t="s">
        <v>218</v>
      </c>
      <c r="H14" s="20" t="s">
        <v>105</v>
      </c>
      <c r="I14" s="5">
        <f t="shared" si="8"/>
        <v>0</v>
      </c>
      <c r="J14" s="5" t="s">
        <v>105</v>
      </c>
      <c r="K14" s="21">
        <f t="shared" si="5"/>
        <v>10</v>
      </c>
      <c r="L14" s="21">
        <f t="shared" si="6"/>
        <v>0.5</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2"/>
    </row>
    <row r="15" spans="1:94" x14ac:dyDescent="0.25">
      <c r="A15" s="118">
        <v>1013</v>
      </c>
      <c r="B15" s="11" t="b">
        <v>1</v>
      </c>
      <c r="C15" s="11" t="b">
        <v>1</v>
      </c>
      <c r="D15" s="1" t="s">
        <v>245</v>
      </c>
      <c r="E15" s="5">
        <f t="shared" si="3"/>
        <v>0.02</v>
      </c>
      <c r="F15" s="5">
        <v>1</v>
      </c>
      <c r="G15" s="21" t="s">
        <v>218</v>
      </c>
      <c r="H15" s="20" t="s">
        <v>105</v>
      </c>
      <c r="I15" s="5">
        <f t="shared" si="8"/>
        <v>0</v>
      </c>
      <c r="J15" s="5" t="s">
        <v>105</v>
      </c>
      <c r="K15" s="21">
        <f t="shared" si="5"/>
        <v>10</v>
      </c>
      <c r="L15" s="21">
        <f t="shared" si="6"/>
        <v>0.5</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2"/>
    </row>
    <row r="16" spans="1:94" x14ac:dyDescent="0.25">
      <c r="A16" s="118">
        <v>1014</v>
      </c>
      <c r="B16" s="11" t="b">
        <v>1</v>
      </c>
      <c r="C16" s="11" t="b">
        <v>1</v>
      </c>
      <c r="D16" s="1" t="s">
        <v>246</v>
      </c>
      <c r="E16" s="5">
        <f t="shared" si="3"/>
        <v>0.02</v>
      </c>
      <c r="F16" s="5">
        <v>1</v>
      </c>
      <c r="G16" s="21" t="s">
        <v>218</v>
      </c>
      <c r="H16" s="20" t="s">
        <v>105</v>
      </c>
      <c r="I16" s="5">
        <f t="shared" si="8"/>
        <v>0</v>
      </c>
      <c r="J16" s="5" t="s">
        <v>105</v>
      </c>
      <c r="K16" s="21">
        <f t="shared" si="5"/>
        <v>10</v>
      </c>
      <c r="L16" s="21">
        <f t="shared" si="6"/>
        <v>0.5</v>
      </c>
      <c r="M16" s="21" t="s">
        <v>105</v>
      </c>
      <c r="N16" s="22">
        <v>12</v>
      </c>
      <c r="O16" s="17" t="s">
        <v>117</v>
      </c>
      <c r="P16" s="17">
        <v>0</v>
      </c>
      <c r="Q16" s="70">
        <f>sel_ures</f>
        <v>0</v>
      </c>
      <c r="R16" s="17">
        <f t="shared" ref="R16" si="10">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2"/>
    </row>
    <row r="17" spans="1:62" x14ac:dyDescent="0.25">
      <c r="A17" s="118">
        <v>1015</v>
      </c>
      <c r="B17" s="11" t="b">
        <v>1</v>
      </c>
      <c r="C17" s="11" t="b">
        <v>1</v>
      </c>
      <c r="D17" s="1" t="s">
        <v>247</v>
      </c>
      <c r="E17" s="5">
        <f t="shared" si="3"/>
        <v>0.02</v>
      </c>
      <c r="F17" s="5">
        <v>1</v>
      </c>
      <c r="G17" s="21" t="s">
        <v>218</v>
      </c>
      <c r="H17" s="20" t="s">
        <v>105</v>
      </c>
      <c r="I17" s="5">
        <f t="shared" si="8"/>
        <v>0</v>
      </c>
      <c r="J17" s="5" t="s">
        <v>105</v>
      </c>
      <c r="K17" s="21">
        <f t="shared" si="5"/>
        <v>10</v>
      </c>
      <c r="L17" s="21">
        <f t="shared" si="6"/>
        <v>0.5</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2"/>
    </row>
    <row r="18" spans="1:62" x14ac:dyDescent="0.25">
      <c r="A18" s="118">
        <v>1016</v>
      </c>
      <c r="B18" s="11" t="b">
        <v>1</v>
      </c>
      <c r="C18" s="11" t="b">
        <v>1</v>
      </c>
      <c r="D18" s="1" t="s">
        <v>248</v>
      </c>
      <c r="E18" s="5">
        <f t="shared" si="3"/>
        <v>0.02</v>
      </c>
      <c r="F18" s="5">
        <v>1</v>
      </c>
      <c r="G18" s="21" t="s">
        <v>218</v>
      </c>
      <c r="H18" s="20" t="s">
        <v>105</v>
      </c>
      <c r="I18" s="5">
        <f t="shared" si="8"/>
        <v>0</v>
      </c>
      <c r="J18" s="5" t="s">
        <v>105</v>
      </c>
      <c r="K18" s="21">
        <f t="shared" si="5"/>
        <v>10</v>
      </c>
      <c r="L18" s="21">
        <f t="shared" si="6"/>
        <v>0.5</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2"/>
    </row>
    <row r="19" spans="1:62" x14ac:dyDescent="0.25">
      <c r="A19" s="118">
        <v>1017</v>
      </c>
      <c r="B19" s="11" t="b">
        <v>1</v>
      </c>
      <c r="C19" s="11" t="b">
        <v>1</v>
      </c>
      <c r="D19" s="1" t="s">
        <v>249</v>
      </c>
      <c r="E19" s="5">
        <f t="shared" si="3"/>
        <v>0.02</v>
      </c>
      <c r="F19" s="5">
        <v>1</v>
      </c>
      <c r="G19" s="21" t="s">
        <v>218</v>
      </c>
      <c r="H19" s="20" t="s">
        <v>105</v>
      </c>
      <c r="I19" s="5">
        <f t="shared" si="8"/>
        <v>0</v>
      </c>
      <c r="J19" s="5" t="s">
        <v>105</v>
      </c>
      <c r="K19" s="21">
        <f t="shared" si="5"/>
        <v>10</v>
      </c>
      <c r="L19" s="21">
        <f t="shared" si="6"/>
        <v>0.5</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2"/>
    </row>
    <row r="20" spans="1:62" x14ac:dyDescent="0.25">
      <c r="A20" s="118">
        <v>1018</v>
      </c>
      <c r="B20" s="11" t="b">
        <v>1</v>
      </c>
      <c r="C20" s="11" t="b">
        <v>1</v>
      </c>
      <c r="D20" s="1" t="s">
        <v>739</v>
      </c>
      <c r="E20" s="5">
        <f t="shared" si="3"/>
        <v>0.02</v>
      </c>
      <c r="F20" s="24">
        <v>1</v>
      </c>
      <c r="G20" s="21" t="s">
        <v>218</v>
      </c>
      <c r="H20" s="20" t="s">
        <v>105</v>
      </c>
      <c r="I20" s="24">
        <f t="shared" ref="I20:I26" si="11">IF(inp_default="Q(U)",D20,IF(inp_default="PF",1,0))</f>
        <v>0</v>
      </c>
      <c r="J20" s="21" t="s">
        <v>105</v>
      </c>
      <c r="K20" s="21">
        <f t="shared" si="5"/>
        <v>10</v>
      </c>
      <c r="L20" s="21">
        <f t="shared" si="6"/>
        <v>0.5</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2"/>
    </row>
    <row r="21" spans="1:62" x14ac:dyDescent="0.25">
      <c r="A21" s="118">
        <v>1019</v>
      </c>
      <c r="B21" s="11" t="b">
        <v>1</v>
      </c>
      <c r="C21" s="11" t="b">
        <v>1</v>
      </c>
      <c r="D21" s="1" t="s">
        <v>740</v>
      </c>
      <c r="E21" s="5">
        <f t="shared" si="3"/>
        <v>0.02</v>
      </c>
      <c r="F21" s="24">
        <v>1</v>
      </c>
      <c r="G21" s="21" t="s">
        <v>218</v>
      </c>
      <c r="H21" s="20" t="s">
        <v>105</v>
      </c>
      <c r="I21" s="24">
        <f t="shared" si="11"/>
        <v>0</v>
      </c>
      <c r="J21" s="21" t="s">
        <v>105</v>
      </c>
      <c r="K21" s="21">
        <f t="shared" si="5"/>
        <v>10</v>
      </c>
      <c r="L21" s="21">
        <f t="shared" si="6"/>
        <v>0.5</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2"/>
    </row>
    <row r="22" spans="1:62" x14ac:dyDescent="0.25">
      <c r="A22" s="118">
        <v>1020</v>
      </c>
      <c r="B22" s="11" t="b">
        <v>1</v>
      </c>
      <c r="C22" s="11" t="b">
        <v>1</v>
      </c>
      <c r="D22" s="1" t="s">
        <v>741</v>
      </c>
      <c r="E22" s="5">
        <f t="shared" si="3"/>
        <v>0.02</v>
      </c>
      <c r="F22" s="24">
        <v>1</v>
      </c>
      <c r="G22" s="21" t="s">
        <v>218</v>
      </c>
      <c r="H22" s="20" t="s">
        <v>105</v>
      </c>
      <c r="I22" s="24">
        <f t="shared" si="11"/>
        <v>0</v>
      </c>
      <c r="J22" s="21" t="s">
        <v>105</v>
      </c>
      <c r="K22" s="21">
        <f t="shared" si="5"/>
        <v>10</v>
      </c>
      <c r="L22" s="21">
        <f t="shared" si="6"/>
        <v>0.5</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2"/>
    </row>
    <row r="23" spans="1:62" x14ac:dyDescent="0.25">
      <c r="A23" s="118">
        <v>1021</v>
      </c>
      <c r="B23" s="11" t="b">
        <v>1</v>
      </c>
      <c r="C23" s="11" t="b">
        <v>1</v>
      </c>
      <c r="D23" s="1" t="s">
        <v>742</v>
      </c>
      <c r="E23" s="5">
        <f t="shared" si="3"/>
        <v>0.02</v>
      </c>
      <c r="F23" s="24">
        <v>1</v>
      </c>
      <c r="G23" s="21" t="s">
        <v>218</v>
      </c>
      <c r="H23" s="20" t="s">
        <v>105</v>
      </c>
      <c r="I23" s="24">
        <f t="shared" si="11"/>
        <v>0</v>
      </c>
      <c r="J23" s="21" t="s">
        <v>105</v>
      </c>
      <c r="K23" s="21">
        <f t="shared" si="5"/>
        <v>10</v>
      </c>
      <c r="L23" s="21">
        <f t="shared" si="6"/>
        <v>0.5</v>
      </c>
      <c r="M23" s="21" t="s">
        <v>105</v>
      </c>
      <c r="N23" s="22">
        <v>2</v>
      </c>
      <c r="O23" s="17" t="s">
        <v>115</v>
      </c>
      <c r="P23" s="17">
        <v>0</v>
      </c>
      <c r="Q23" s="70">
        <v>0.2</v>
      </c>
      <c r="R23" s="17">
        <v>0.25</v>
      </c>
      <c r="S23" s="5" t="s">
        <v>119</v>
      </c>
      <c r="T23" s="5">
        <f>P23+R23-0.001</f>
        <v>0.249</v>
      </c>
      <c r="U23" s="5">
        <f>inp_scr_min</f>
        <v>10</v>
      </c>
      <c r="V23" s="5">
        <f>inp_xr_min</f>
        <v>0.5</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2"/>
    </row>
    <row r="24" spans="1:62" x14ac:dyDescent="0.25">
      <c r="A24" s="118">
        <v>1022</v>
      </c>
      <c r="B24" s="11" t="b">
        <v>1</v>
      </c>
      <c r="C24" s="11" t="b">
        <v>1</v>
      </c>
      <c r="D24" s="1" t="s">
        <v>743</v>
      </c>
      <c r="E24" s="5">
        <f t="shared" si="3"/>
        <v>0.02</v>
      </c>
      <c r="F24" s="24">
        <v>1</v>
      </c>
      <c r="G24" s="21" t="s">
        <v>218</v>
      </c>
      <c r="H24" s="20" t="s">
        <v>105</v>
      </c>
      <c r="I24" s="24">
        <f t="shared" si="11"/>
        <v>0</v>
      </c>
      <c r="J24" s="21" t="s">
        <v>105</v>
      </c>
      <c r="K24" s="21">
        <f t="shared" si="5"/>
        <v>10</v>
      </c>
      <c r="L24" s="21">
        <f t="shared" si="6"/>
        <v>0.5</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2"/>
    </row>
    <row r="25" spans="1:62" x14ac:dyDescent="0.25">
      <c r="A25" s="118">
        <v>1023</v>
      </c>
      <c r="B25" s="11" t="b">
        <v>1</v>
      </c>
      <c r="C25" s="11" t="b">
        <v>1</v>
      </c>
      <c r="D25" s="1" t="s">
        <v>744</v>
      </c>
      <c r="E25" s="5">
        <f t="shared" si="3"/>
        <v>0.02</v>
      </c>
      <c r="F25" s="24">
        <v>1</v>
      </c>
      <c r="G25" s="21" t="s">
        <v>218</v>
      </c>
      <c r="H25" s="20" t="s">
        <v>105</v>
      </c>
      <c r="I25" s="24">
        <f t="shared" si="11"/>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2"/>
    </row>
    <row r="26" spans="1:62" x14ac:dyDescent="0.25">
      <c r="A26" s="118">
        <v>1024</v>
      </c>
      <c r="B26" s="11" t="b">
        <v>1</v>
      </c>
      <c r="C26" s="11" t="b">
        <v>1</v>
      </c>
      <c r="D26" s="1" t="s">
        <v>745</v>
      </c>
      <c r="E26" s="5">
        <f t="shared" si="3"/>
        <v>0.02</v>
      </c>
      <c r="F26" s="24">
        <v>1</v>
      </c>
      <c r="G26" s="21" t="s">
        <v>218</v>
      </c>
      <c r="H26" s="20" t="s">
        <v>105</v>
      </c>
      <c r="I26" s="24">
        <f t="shared" si="11"/>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2"/>
    </row>
    <row r="27" spans="1:62" x14ac:dyDescent="0.25">
      <c r="A27" s="118">
        <v>1025</v>
      </c>
      <c r="B27" s="11" t="b">
        <v>1</v>
      </c>
      <c r="C27" s="11" t="b">
        <v>1</v>
      </c>
      <c r="D27" s="1" t="s">
        <v>250</v>
      </c>
      <c r="E27" s="5">
        <f t="shared" si="3"/>
        <v>0.02</v>
      </c>
      <c r="F27" s="5">
        <v>1</v>
      </c>
      <c r="G27" s="21" t="s">
        <v>218</v>
      </c>
      <c r="H27" s="20" t="s">
        <v>105</v>
      </c>
      <c r="I27" s="5">
        <f t="shared" ref="I27:I28" si="12">IF(inp_default="Q(U)",E27,IF(inp_default="PF",1,0))</f>
        <v>0</v>
      </c>
      <c r="J27" s="5" t="s">
        <v>105</v>
      </c>
      <c r="K27" s="21">
        <f>inp_scr_tun</f>
        <v>20</v>
      </c>
      <c r="L27" s="21">
        <f>inp_xr_tun</f>
        <v>-100</v>
      </c>
      <c r="M27" s="21" t="s">
        <v>105</v>
      </c>
      <c r="N27" s="22">
        <v>12</v>
      </c>
      <c r="O27" s="17" t="s">
        <v>115</v>
      </c>
      <c r="P27" s="17">
        <v>0</v>
      </c>
      <c r="Q27" s="71">
        <v>0.05</v>
      </c>
      <c r="R27" s="17">
        <v>0.15</v>
      </c>
      <c r="S27" s="23" t="s">
        <v>119</v>
      </c>
      <c r="T27" s="5">
        <f>P27+R27-0.001</f>
        <v>0.14899999999999999</v>
      </c>
      <c r="U27" s="5">
        <f>inp_scr_min</f>
        <v>10</v>
      </c>
      <c r="V27" s="5">
        <f>inp_xr_min</f>
        <v>0.5</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2"/>
    </row>
    <row r="28" spans="1:62" x14ac:dyDescent="0.25">
      <c r="A28" s="118">
        <v>1026</v>
      </c>
      <c r="B28" s="11" t="b">
        <v>1</v>
      </c>
      <c r="C28" s="11" t="b">
        <v>1</v>
      </c>
      <c r="D28" s="1" t="s">
        <v>251</v>
      </c>
      <c r="E28" s="5">
        <f t="shared" si="3"/>
        <v>0.02</v>
      </c>
      <c r="F28" s="5">
        <v>1</v>
      </c>
      <c r="G28" s="21" t="s">
        <v>218</v>
      </c>
      <c r="H28" s="20" t="s">
        <v>105</v>
      </c>
      <c r="I28" s="5">
        <f t="shared" si="12"/>
        <v>0</v>
      </c>
      <c r="J28" s="5" t="s">
        <v>105</v>
      </c>
      <c r="K28" s="21">
        <f>inp_scr_tun</f>
        <v>20</v>
      </c>
      <c r="L28" s="21">
        <f>inp_xr_tun</f>
        <v>-100</v>
      </c>
      <c r="M28" s="21" t="s">
        <v>105</v>
      </c>
      <c r="N28" s="22">
        <v>12</v>
      </c>
      <c r="O28" s="17" t="s">
        <v>118</v>
      </c>
      <c r="P28" s="17">
        <v>0</v>
      </c>
      <c r="Q28" s="71">
        <v>0.1</v>
      </c>
      <c r="R28" s="17">
        <v>0.15</v>
      </c>
      <c r="S28" s="23" t="s">
        <v>119</v>
      </c>
      <c r="T28" s="5">
        <f>P28+R28-0.001</f>
        <v>0.14899999999999999</v>
      </c>
      <c r="U28" s="5">
        <f>inp_scr_min</f>
        <v>10</v>
      </c>
      <c r="V28" s="5">
        <f>inp_xr_min</f>
        <v>0.5</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2"/>
    </row>
    <row r="29" spans="1:62" x14ac:dyDescent="0.25">
      <c r="A29" s="118">
        <v>1027</v>
      </c>
      <c r="B29" s="11" t="b">
        <v>1</v>
      </c>
      <c r="C29" s="11" t="b">
        <v>1</v>
      </c>
      <c r="D29" s="1" t="s">
        <v>746</v>
      </c>
      <c r="E29" s="5">
        <f t="shared" si="3"/>
        <v>0.02</v>
      </c>
      <c r="F29" s="24">
        <v>1</v>
      </c>
      <c r="G29" s="21" t="s">
        <v>218</v>
      </c>
      <c r="H29" s="20" t="s">
        <v>105</v>
      </c>
      <c r="I29" s="24">
        <f>IF(inp_default="Q(U)",D29,IF(inp_default="PF",1,0))</f>
        <v>0</v>
      </c>
      <c r="J29" s="21" t="s">
        <v>105</v>
      </c>
      <c r="K29" s="21">
        <f>inp_scr_tun</f>
        <v>20</v>
      </c>
      <c r="L29" s="21">
        <f>inp_xr_tun</f>
        <v>-100</v>
      </c>
      <c r="M29" s="21" t="s">
        <v>105</v>
      </c>
      <c r="N29" s="22">
        <v>12</v>
      </c>
      <c r="O29" s="17" t="s">
        <v>115</v>
      </c>
      <c r="P29" s="17">
        <v>0</v>
      </c>
      <c r="Q29" s="70">
        <v>0.4</v>
      </c>
      <c r="R29" s="17">
        <v>0.2</v>
      </c>
      <c r="S29" s="5" t="s">
        <v>119</v>
      </c>
      <c r="T29" s="5">
        <f>P29+R29-0.001</f>
        <v>0.19900000000000001</v>
      </c>
      <c r="U29" s="5">
        <f>inp_scr_min</f>
        <v>10</v>
      </c>
      <c r="V29" s="5">
        <f>inp_xr_min</f>
        <v>0.5</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2"/>
    </row>
    <row r="30" spans="1:62" x14ac:dyDescent="0.25">
      <c r="A30" s="118">
        <v>1028</v>
      </c>
      <c r="B30" s="11" t="b">
        <v>1</v>
      </c>
      <c r="C30" s="11" t="b">
        <v>1</v>
      </c>
      <c r="D30" s="118" t="s">
        <v>747</v>
      </c>
      <c r="E30" s="24">
        <v>1</v>
      </c>
      <c r="F30" s="24">
        <v>1</v>
      </c>
      <c r="G30" s="119" t="s">
        <v>218</v>
      </c>
      <c r="H30" s="120" t="s">
        <v>105</v>
      </c>
      <c r="I30" s="24">
        <f>IF(inp_default="Q(U)",D30,IF(inp_default="PF",1,0))</f>
        <v>0</v>
      </c>
      <c r="J30" s="21" t="s">
        <v>105</v>
      </c>
      <c r="K30" s="119">
        <v>-1</v>
      </c>
      <c r="L30" s="119">
        <v>0</v>
      </c>
      <c r="M30" s="21" t="s">
        <v>105</v>
      </c>
      <c r="N30" s="253">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54">
        <v>46</v>
      </c>
      <c r="AK30" s="24">
        <f>sel_lvfrt_start-0.05</f>
        <v>0.79999999999999993</v>
      </c>
      <c r="AL30" s="24"/>
      <c r="AM30" s="122" t="s">
        <v>108</v>
      </c>
      <c r="AN30" s="122">
        <v>51</v>
      </c>
      <c r="AO30" s="122">
        <f>$E30</f>
        <v>1</v>
      </c>
      <c r="AP30" s="122"/>
      <c r="AQ30" s="24" t="s">
        <v>108</v>
      </c>
      <c r="AR30" s="254">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2"/>
    </row>
    <row r="31" spans="1:62" x14ac:dyDescent="0.25">
      <c r="A31" s="118">
        <v>1029</v>
      </c>
      <c r="B31" s="11" t="b">
        <v>1</v>
      </c>
      <c r="C31" s="11" t="b">
        <v>1</v>
      </c>
      <c r="D31" s="118" t="s">
        <v>748</v>
      </c>
      <c r="E31" s="24">
        <v>1</v>
      </c>
      <c r="F31" s="24">
        <v>1</v>
      </c>
      <c r="G31" s="119" t="s">
        <v>218</v>
      </c>
      <c r="H31" s="120" t="s">
        <v>105</v>
      </c>
      <c r="I31" s="24">
        <f>IF(inp_default="Q(U)",D31,IF(inp_default="PF",1,0))</f>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4"/>
      <c r="AK31" s="24"/>
      <c r="AL31" s="24"/>
      <c r="AM31" s="255"/>
      <c r="AN31" s="122"/>
      <c r="AO31" s="122"/>
      <c r="AP31" s="122"/>
      <c r="AQ31" s="24"/>
      <c r="AR31" s="254"/>
      <c r="AS31" s="24"/>
      <c r="AT31" s="24"/>
      <c r="AU31" s="122"/>
      <c r="AV31" s="122"/>
      <c r="AW31" s="122"/>
      <c r="AX31" s="122"/>
      <c r="AY31" s="24"/>
      <c r="AZ31" s="24"/>
      <c r="BA31" s="24"/>
      <c r="BB31" s="24"/>
      <c r="BC31" s="122"/>
      <c r="BD31" s="122"/>
      <c r="BE31" s="122"/>
      <c r="BF31" s="122"/>
      <c r="BG31" s="5"/>
      <c r="BH31" s="5"/>
      <c r="BI31" s="5"/>
      <c r="BJ31" s="252"/>
    </row>
    <row r="32" spans="1:62" x14ac:dyDescent="0.25">
      <c r="A32" s="118">
        <v>1030</v>
      </c>
      <c r="B32" s="11" t="b">
        <v>1</v>
      </c>
      <c r="C32" s="11" t="b">
        <v>1</v>
      </c>
      <c r="D32" s="1" t="s">
        <v>350</v>
      </c>
      <c r="E32" s="5">
        <f t="shared" si="3"/>
        <v>0.02</v>
      </c>
      <c r="F32" s="5">
        <v>1</v>
      </c>
      <c r="G32" s="21" t="s">
        <v>218</v>
      </c>
      <c r="H32" s="20" t="s">
        <v>105</v>
      </c>
      <c r="I32" s="5">
        <f t="shared" si="8"/>
        <v>0</v>
      </c>
      <c r="J32" s="5" t="s">
        <v>105</v>
      </c>
      <c r="K32" s="21">
        <f>inp_scr_max</f>
        <v>30</v>
      </c>
      <c r="L32" s="21" t="str">
        <f>inp_xr_max</f>
        <v>Demand</v>
      </c>
      <c r="M32" s="21" t="s">
        <v>105</v>
      </c>
      <c r="N32" s="22">
        <v>10</v>
      </c>
      <c r="O32" s="88" t="s">
        <v>119</v>
      </c>
      <c r="P32" s="88">
        <v>0</v>
      </c>
      <c r="Q32" s="88">
        <f>inp_scr_min</f>
        <v>10</v>
      </c>
      <c r="R32" s="88">
        <f>inp_xr_min</f>
        <v>0.5</v>
      </c>
      <c r="S32" s="5" t="s">
        <v>119</v>
      </c>
      <c r="T32" s="5">
        <v>5</v>
      </c>
      <c r="U32" s="5">
        <f>inp_scr_max</f>
        <v>30</v>
      </c>
      <c r="V32" s="5" t="str">
        <f>inp_xr_max</f>
        <v>Demand</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2"/>
    </row>
    <row r="33" spans="1:62" x14ac:dyDescent="0.25">
      <c r="A33" s="118">
        <v>1031</v>
      </c>
      <c r="B33" s="11" t="b">
        <v>1</v>
      </c>
      <c r="C33" s="11" t="b">
        <v>1</v>
      </c>
      <c r="D33" s="1" t="s">
        <v>749</v>
      </c>
      <c r="E33" s="5">
        <f t="shared" si="3"/>
        <v>0.02</v>
      </c>
      <c r="F33" s="5">
        <v>1</v>
      </c>
      <c r="G33" s="21" t="s">
        <v>218</v>
      </c>
      <c r="H33" s="20" t="s">
        <v>105</v>
      </c>
      <c r="I33" s="5">
        <f t="shared" si="8"/>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2"/>
    </row>
    <row r="34" spans="1:62" x14ac:dyDescent="0.25">
      <c r="A34" s="118">
        <v>1032</v>
      </c>
      <c r="B34" s="11" t="b">
        <v>1</v>
      </c>
      <c r="C34" s="11" t="b">
        <v>1</v>
      </c>
      <c r="D34" s="1" t="s">
        <v>750</v>
      </c>
      <c r="E34" s="5">
        <f t="shared" si="3"/>
        <v>0.02</v>
      </c>
      <c r="F34" s="5">
        <v>1</v>
      </c>
      <c r="G34" s="21" t="s">
        <v>218</v>
      </c>
      <c r="H34" s="20" t="s">
        <v>105</v>
      </c>
      <c r="I34" s="5">
        <f t="shared" si="8"/>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2"/>
    </row>
    <row r="35" spans="1:62" x14ac:dyDescent="0.25">
      <c r="A35" s="118">
        <v>1033</v>
      </c>
      <c r="B35" s="11" t="b">
        <v>1</v>
      </c>
      <c r="C35" s="11" t="b">
        <v>1</v>
      </c>
      <c r="D35" s="1" t="s">
        <v>751</v>
      </c>
      <c r="E35" s="5">
        <f t="shared" si="3"/>
        <v>0.02</v>
      </c>
      <c r="F35" s="5">
        <v>1</v>
      </c>
      <c r="G35" s="21" t="s">
        <v>218</v>
      </c>
      <c r="H35" s="20" t="s">
        <v>105</v>
      </c>
      <c r="I35" s="5">
        <f t="shared" si="8"/>
        <v>0</v>
      </c>
      <c r="J35" s="5" t="s">
        <v>105</v>
      </c>
      <c r="K35" s="21">
        <v>-1</v>
      </c>
      <c r="L35" s="21">
        <v>0</v>
      </c>
      <c r="M35" s="21" t="s">
        <v>105</v>
      </c>
      <c r="N35" s="22"/>
      <c r="O35" s="88" t="s">
        <v>124</v>
      </c>
      <c r="P35" s="88"/>
      <c r="Q35" s="256" t="s">
        <v>125</v>
      </c>
      <c r="R35" s="256">
        <f t="shared" ref="R35:R36" si="13">inp_Uc/inp_Un</f>
        <v>0.02</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2"/>
    </row>
    <row r="36" spans="1:62" x14ac:dyDescent="0.25">
      <c r="A36" s="118">
        <v>1034</v>
      </c>
      <c r="B36" s="11" t="b">
        <v>1</v>
      </c>
      <c r="C36" s="11" t="b">
        <v>1</v>
      </c>
      <c r="D36" s="1" t="s">
        <v>752</v>
      </c>
      <c r="E36" s="5">
        <f t="shared" si="3"/>
        <v>0.02</v>
      </c>
      <c r="F36" s="5">
        <v>1</v>
      </c>
      <c r="G36" s="21" t="s">
        <v>218</v>
      </c>
      <c r="H36" s="20" t="s">
        <v>105</v>
      </c>
      <c r="I36" s="5">
        <f t="shared" si="8"/>
        <v>0</v>
      </c>
      <c r="J36" s="5" t="s">
        <v>105</v>
      </c>
      <c r="K36" s="21">
        <v>-1</v>
      </c>
      <c r="L36" s="21">
        <v>0</v>
      </c>
      <c r="M36" s="21" t="s">
        <v>105</v>
      </c>
      <c r="N36" s="22"/>
      <c r="O36" s="88" t="s">
        <v>124</v>
      </c>
      <c r="P36" s="88"/>
      <c r="Q36" s="256" t="s">
        <v>338</v>
      </c>
      <c r="R36" s="256">
        <f t="shared" si="13"/>
        <v>0.02</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2"/>
    </row>
    <row r="37" spans="1:62" x14ac:dyDescent="0.25">
      <c r="A37" s="118">
        <v>1035</v>
      </c>
      <c r="B37" s="11" t="b">
        <v>1</v>
      </c>
      <c r="C37" s="11" t="b">
        <v>1</v>
      </c>
      <c r="D37" s="1" t="s">
        <v>833</v>
      </c>
      <c r="E37" s="5">
        <f t="shared" si="3"/>
        <v>0.02</v>
      </c>
      <c r="F37" s="5">
        <v>1</v>
      </c>
      <c r="G37" s="21" t="s">
        <v>218</v>
      </c>
      <c r="H37" s="20" t="s">
        <v>105</v>
      </c>
      <c r="I37" s="5">
        <v>0</v>
      </c>
      <c r="J37" s="5" t="s">
        <v>105</v>
      </c>
      <c r="K37" s="21">
        <f>inp_scr_min</f>
        <v>10</v>
      </c>
      <c r="L37" s="21">
        <f t="shared" ref="L37:L43" si="14">inp_xr_min</f>
        <v>0.5</v>
      </c>
      <c r="M37" s="21" t="s">
        <v>732</v>
      </c>
      <c r="N37" s="22">
        <v>12</v>
      </c>
      <c r="O37" s="88" t="s">
        <v>115</v>
      </c>
      <c r="P37" s="88">
        <v>0</v>
      </c>
      <c r="Q37" s="256">
        <v>0.2</v>
      </c>
      <c r="R37" s="256">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2"/>
    </row>
    <row r="38" spans="1:62" x14ac:dyDescent="0.25">
      <c r="A38" s="118">
        <v>1036</v>
      </c>
      <c r="B38" s="11" t="b">
        <v>1</v>
      </c>
      <c r="C38" s="11" t="b">
        <v>1</v>
      </c>
      <c r="D38" s="1" t="s">
        <v>834</v>
      </c>
      <c r="E38" s="5">
        <f t="shared" si="3"/>
        <v>0.02</v>
      </c>
      <c r="F38" s="5">
        <v>1</v>
      </c>
      <c r="G38" s="21" t="s">
        <v>218</v>
      </c>
      <c r="H38" s="20" t="s">
        <v>105</v>
      </c>
      <c r="I38" s="5">
        <v>0</v>
      </c>
      <c r="J38" s="5" t="s">
        <v>105</v>
      </c>
      <c r="K38" s="21">
        <f>inp_scr_max</f>
        <v>30</v>
      </c>
      <c r="L38" s="21" t="str">
        <f>inp_xr_max</f>
        <v>Demand</v>
      </c>
      <c r="M38" s="21" t="s">
        <v>732</v>
      </c>
      <c r="N38" s="22">
        <v>12</v>
      </c>
      <c r="O38" s="88" t="s">
        <v>115</v>
      </c>
      <c r="P38" s="88">
        <v>0</v>
      </c>
      <c r="Q38" s="256">
        <v>0.2</v>
      </c>
      <c r="R38" s="256">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2"/>
    </row>
    <row r="39" spans="1:62" x14ac:dyDescent="0.25">
      <c r="A39" s="118">
        <v>1037</v>
      </c>
      <c r="B39" s="11" t="b">
        <v>1</v>
      </c>
      <c r="C39" s="11" t="b">
        <v>1</v>
      </c>
      <c r="D39" s="1" t="s">
        <v>835</v>
      </c>
      <c r="E39" s="5">
        <f t="shared" si="3"/>
        <v>0.02</v>
      </c>
      <c r="F39" s="5">
        <v>1</v>
      </c>
      <c r="G39" s="21" t="s">
        <v>218</v>
      </c>
      <c r="H39" s="20" t="s">
        <v>105</v>
      </c>
      <c r="I39" s="5">
        <v>0</v>
      </c>
      <c r="J39" s="5" t="s">
        <v>105</v>
      </c>
      <c r="K39" s="21">
        <f>inp_scr_min</f>
        <v>10</v>
      </c>
      <c r="L39" s="21">
        <f t="shared" si="14"/>
        <v>0.5</v>
      </c>
      <c r="M39" s="21" t="s">
        <v>732</v>
      </c>
      <c r="N39" s="22">
        <v>12</v>
      </c>
      <c r="O39" s="88" t="s">
        <v>118</v>
      </c>
      <c r="P39" s="88">
        <v>0</v>
      </c>
      <c r="Q39" s="256">
        <v>0.2</v>
      </c>
      <c r="R39" s="256">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2"/>
    </row>
    <row r="40" spans="1:62" x14ac:dyDescent="0.25">
      <c r="A40" s="118">
        <v>1038</v>
      </c>
      <c r="B40" s="11" t="b">
        <v>1</v>
      </c>
      <c r="C40" s="11" t="b">
        <v>1</v>
      </c>
      <c r="D40" s="1" t="s">
        <v>836</v>
      </c>
      <c r="E40" s="5">
        <f t="shared" si="3"/>
        <v>0.02</v>
      </c>
      <c r="F40" s="5">
        <v>1</v>
      </c>
      <c r="G40" s="21" t="s">
        <v>218</v>
      </c>
      <c r="H40" s="20" t="s">
        <v>105</v>
      </c>
      <c r="I40" s="5">
        <v>0</v>
      </c>
      <c r="J40" s="5" t="s">
        <v>105</v>
      </c>
      <c r="K40" s="21">
        <f>inp_scr_max</f>
        <v>30</v>
      </c>
      <c r="L40" s="21" t="str">
        <f>inp_xr_max</f>
        <v>Demand</v>
      </c>
      <c r="M40" s="21" t="s">
        <v>732</v>
      </c>
      <c r="N40" s="22">
        <v>12</v>
      </c>
      <c r="O40" s="88" t="s">
        <v>118</v>
      </c>
      <c r="P40" s="88">
        <v>0</v>
      </c>
      <c r="Q40" s="256">
        <v>0.2</v>
      </c>
      <c r="R40" s="256">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2"/>
    </row>
    <row r="41" spans="1:62" x14ac:dyDescent="0.25">
      <c r="A41" s="118">
        <v>1039</v>
      </c>
      <c r="B41" s="11" t="b">
        <v>1</v>
      </c>
      <c r="C41" s="11" t="b">
        <v>1</v>
      </c>
      <c r="D41" s="1" t="s">
        <v>837</v>
      </c>
      <c r="E41" s="5">
        <f t="shared" si="3"/>
        <v>0.02</v>
      </c>
      <c r="F41" s="5">
        <v>1</v>
      </c>
      <c r="G41" s="21" t="s">
        <v>218</v>
      </c>
      <c r="H41" s="20" t="s">
        <v>105</v>
      </c>
      <c r="I41" s="5">
        <v>0</v>
      </c>
      <c r="J41" s="5" t="s">
        <v>105</v>
      </c>
      <c r="K41" s="21">
        <f>inp_scr_min</f>
        <v>10</v>
      </c>
      <c r="L41" s="21">
        <f t="shared" si="14"/>
        <v>0.5</v>
      </c>
      <c r="M41" s="21" t="s">
        <v>732</v>
      </c>
      <c r="N41" s="22">
        <v>12</v>
      </c>
      <c r="O41" s="88" t="s">
        <v>116</v>
      </c>
      <c r="P41" s="88">
        <v>0</v>
      </c>
      <c r="Q41" s="256">
        <v>0.2</v>
      </c>
      <c r="R41" s="256">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2"/>
    </row>
    <row r="42" spans="1:62" x14ac:dyDescent="0.25">
      <c r="A42" s="118">
        <v>1040</v>
      </c>
      <c r="B42" s="11" t="b">
        <v>1</v>
      </c>
      <c r="C42" s="11" t="b">
        <v>1</v>
      </c>
      <c r="D42" s="1" t="s">
        <v>838</v>
      </c>
      <c r="E42" s="5">
        <f t="shared" si="3"/>
        <v>0.02</v>
      </c>
      <c r="F42" s="5">
        <v>1</v>
      </c>
      <c r="G42" s="21" t="s">
        <v>218</v>
      </c>
      <c r="H42" s="20" t="s">
        <v>105</v>
      </c>
      <c r="I42" s="5">
        <v>0</v>
      </c>
      <c r="J42" s="5" t="s">
        <v>105</v>
      </c>
      <c r="K42" s="21">
        <f>inp_scr_max</f>
        <v>30</v>
      </c>
      <c r="L42" s="21" t="str">
        <f>inp_xr_max</f>
        <v>Demand</v>
      </c>
      <c r="M42" s="21" t="s">
        <v>732</v>
      </c>
      <c r="N42" s="22">
        <v>12</v>
      </c>
      <c r="O42" s="88" t="s">
        <v>116</v>
      </c>
      <c r="P42" s="88">
        <v>0</v>
      </c>
      <c r="Q42" s="256">
        <v>0.2</v>
      </c>
      <c r="R42" s="256">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2"/>
    </row>
    <row r="43" spans="1:62" x14ac:dyDescent="0.25">
      <c r="A43" s="118">
        <v>1041</v>
      </c>
      <c r="B43" s="11" t="b">
        <v>1</v>
      </c>
      <c r="C43" s="11" t="b">
        <v>1</v>
      </c>
      <c r="D43" s="1" t="s">
        <v>839</v>
      </c>
      <c r="E43" s="5">
        <f t="shared" si="3"/>
        <v>0.02</v>
      </c>
      <c r="F43" s="5">
        <v>1</v>
      </c>
      <c r="G43" s="21" t="s">
        <v>218</v>
      </c>
      <c r="H43" s="20" t="s">
        <v>105</v>
      </c>
      <c r="I43" s="5">
        <v>0</v>
      </c>
      <c r="J43" s="5" t="s">
        <v>105</v>
      </c>
      <c r="K43" s="21">
        <f>inp_scr_min</f>
        <v>10</v>
      </c>
      <c r="L43" s="21">
        <f t="shared" si="14"/>
        <v>0.5</v>
      </c>
      <c r="M43" s="21" t="s">
        <v>732</v>
      </c>
      <c r="N43" s="22">
        <v>12</v>
      </c>
      <c r="O43" s="88" t="s">
        <v>117</v>
      </c>
      <c r="P43" s="88">
        <v>0</v>
      </c>
      <c r="Q43" s="256">
        <v>0.2</v>
      </c>
      <c r="R43" s="256">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2"/>
    </row>
    <row r="44" spans="1:62" x14ac:dyDescent="0.25">
      <c r="A44" s="118">
        <v>1042</v>
      </c>
      <c r="B44" s="11" t="b">
        <v>1</v>
      </c>
      <c r="C44" s="11" t="b">
        <v>1</v>
      </c>
      <c r="D44" s="1" t="s">
        <v>840</v>
      </c>
      <c r="E44" s="5">
        <f t="shared" si="3"/>
        <v>0.02</v>
      </c>
      <c r="F44" s="5">
        <v>1</v>
      </c>
      <c r="G44" s="21" t="s">
        <v>218</v>
      </c>
      <c r="H44" s="20" t="s">
        <v>105</v>
      </c>
      <c r="I44" s="5">
        <v>0</v>
      </c>
      <c r="J44" s="5" t="s">
        <v>105</v>
      </c>
      <c r="K44" s="21">
        <f>inp_scr_max</f>
        <v>30</v>
      </c>
      <c r="L44" s="21" t="str">
        <f>inp_xr_max</f>
        <v>Demand</v>
      </c>
      <c r="M44" s="21" t="s">
        <v>732</v>
      </c>
      <c r="N44" s="22">
        <v>12</v>
      </c>
      <c r="O44" s="88" t="s">
        <v>117</v>
      </c>
      <c r="P44" s="88">
        <v>0</v>
      </c>
      <c r="Q44" s="256">
        <v>0.2</v>
      </c>
      <c r="R44" s="256">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2"/>
    </row>
    <row r="45" spans="1:62" x14ac:dyDescent="0.25">
      <c r="A45" s="118">
        <v>1043</v>
      </c>
      <c r="B45" s="11" t="b">
        <v>1</v>
      </c>
      <c r="C45" s="11" t="b">
        <v>1</v>
      </c>
      <c r="D45" s="1" t="s">
        <v>252</v>
      </c>
      <c r="E45" s="5">
        <f t="shared" si="3"/>
        <v>0.02</v>
      </c>
      <c r="F45" s="5">
        <v>1</v>
      </c>
      <c r="G45" s="21" t="s">
        <v>218</v>
      </c>
      <c r="H45" s="20" t="s">
        <v>105</v>
      </c>
      <c r="I45" s="5">
        <f t="shared" ref="I45:I52" si="15">IF(inp_default="Q(U)",E45,IF(inp_default="PF",1,0))</f>
        <v>0</v>
      </c>
      <c r="J45" s="5" t="s">
        <v>105</v>
      </c>
      <c r="K45" s="21">
        <f t="shared" ref="K45:K64" si="16">inp_scr_min</f>
        <v>10</v>
      </c>
      <c r="L45" s="21">
        <f t="shared" ref="L45:L64" si="17">inp_xr_min</f>
        <v>0.5</v>
      </c>
      <c r="M45" s="21" t="s">
        <v>105</v>
      </c>
      <c r="N45" s="22">
        <v>45</v>
      </c>
      <c r="O45" s="88" t="s">
        <v>113</v>
      </c>
      <c r="P45" s="88">
        <v>-1</v>
      </c>
      <c r="Q45" s="88">
        <v>0</v>
      </c>
      <c r="R45" s="88"/>
      <c r="S45" s="5" t="s">
        <v>180</v>
      </c>
      <c r="T45" s="5">
        <v>0</v>
      </c>
      <c r="U45" s="5">
        <v>1</v>
      </c>
      <c r="V45" s="5"/>
      <c r="W45" s="88" t="s">
        <v>113</v>
      </c>
      <c r="X45" s="88">
        <v>1</v>
      </c>
      <c r="Y45" s="88">
        <v>2</v>
      </c>
      <c r="Z45" s="88"/>
      <c r="AA45" s="5" t="s">
        <v>113</v>
      </c>
      <c r="AB45" s="5">
        <v>15</v>
      </c>
      <c r="AC45" s="5">
        <v>4</v>
      </c>
      <c r="AD45" s="5"/>
      <c r="AE45" s="88" t="s">
        <v>113</v>
      </c>
      <c r="AF45" s="88">
        <v>30</v>
      </c>
      <c r="AG45" s="88">
        <v>0</v>
      </c>
      <c r="AH45" s="88"/>
      <c r="AJ45" s="5"/>
      <c r="AK45" s="5"/>
      <c r="AL45" s="5"/>
      <c r="AM45" s="17"/>
      <c r="AN45" s="17"/>
      <c r="AO45" s="17"/>
      <c r="AP45" s="17"/>
      <c r="AQ45" s="23"/>
      <c r="AR45" s="5"/>
      <c r="AS45" s="5"/>
      <c r="AT45" s="5"/>
      <c r="AU45" s="17"/>
      <c r="AV45" s="17"/>
      <c r="AW45" s="17"/>
      <c r="AX45" s="17"/>
      <c r="AY45" s="23"/>
      <c r="AZ45" s="5"/>
      <c r="BA45" s="5"/>
      <c r="BB45" s="5"/>
      <c r="BC45" s="17"/>
      <c r="BD45" s="17"/>
      <c r="BE45" s="17"/>
      <c r="BF45" s="17"/>
      <c r="BG45" s="23"/>
      <c r="BH45" s="5"/>
      <c r="BI45" s="5"/>
      <c r="BJ45" s="252"/>
    </row>
    <row r="46" spans="1:62" x14ac:dyDescent="0.25">
      <c r="A46" s="118">
        <v>1044</v>
      </c>
      <c r="B46" s="11" t="b">
        <v>1</v>
      </c>
      <c r="C46" s="11" t="b">
        <v>1</v>
      </c>
      <c r="D46" s="1" t="s">
        <v>753</v>
      </c>
      <c r="E46" s="5">
        <f t="shared" si="3"/>
        <v>0.02</v>
      </c>
      <c r="F46" s="5">
        <v>1</v>
      </c>
      <c r="G46" s="21" t="s">
        <v>218</v>
      </c>
      <c r="H46" s="20" t="s">
        <v>105</v>
      </c>
      <c r="I46" s="5">
        <f t="shared" si="15"/>
        <v>0</v>
      </c>
      <c r="J46" s="5" t="s">
        <v>105</v>
      </c>
      <c r="K46" s="21">
        <f t="shared" si="16"/>
        <v>10</v>
      </c>
      <c r="L46" s="21">
        <f t="shared" si="17"/>
        <v>0.5</v>
      </c>
      <c r="M46" s="21" t="s">
        <v>105</v>
      </c>
      <c r="N46" s="22">
        <v>45</v>
      </c>
      <c r="O46" s="88" t="s">
        <v>113</v>
      </c>
      <c r="P46" s="88">
        <v>-1</v>
      </c>
      <c r="Q46" s="88">
        <v>0</v>
      </c>
      <c r="R46" s="88"/>
      <c r="S46" s="5" t="s">
        <v>180</v>
      </c>
      <c r="T46" s="5">
        <v>0</v>
      </c>
      <c r="U46" s="5">
        <v>1</v>
      </c>
      <c r="V46" s="5"/>
      <c r="W46" s="88" t="s">
        <v>115</v>
      </c>
      <c r="X46" s="88">
        <v>1</v>
      </c>
      <c r="Y46" s="88">
        <v>0.2</v>
      </c>
      <c r="Z46" s="88">
        <v>0.45</v>
      </c>
      <c r="AA46" s="5" t="s">
        <v>113</v>
      </c>
      <c r="AB46" s="5">
        <f>X46+Z46+0.2</f>
        <v>1.65</v>
      </c>
      <c r="AC46" s="5">
        <v>4</v>
      </c>
      <c r="AD46" s="5"/>
      <c r="AE46" s="88" t="s">
        <v>113</v>
      </c>
      <c r="AF46" s="88">
        <v>30</v>
      </c>
      <c r="AG46" s="88">
        <v>0</v>
      </c>
      <c r="AH46" s="88"/>
      <c r="AJ46" s="5"/>
      <c r="AK46" s="5"/>
      <c r="AL46" s="5"/>
      <c r="AM46" s="17"/>
      <c r="AN46" s="17"/>
      <c r="AO46" s="17"/>
      <c r="AP46" s="17"/>
      <c r="AQ46" s="23"/>
      <c r="AR46" s="5"/>
      <c r="AS46" s="5"/>
      <c r="AT46" s="5"/>
      <c r="AU46" s="17"/>
      <c r="AV46" s="17"/>
      <c r="AW46" s="17"/>
      <c r="AX46" s="17"/>
      <c r="AY46" s="23"/>
      <c r="AZ46" s="5"/>
      <c r="BA46" s="5"/>
      <c r="BB46" s="5"/>
      <c r="BC46" s="17"/>
      <c r="BD46" s="17"/>
      <c r="BE46" s="17"/>
      <c r="BF46" s="17"/>
      <c r="BG46" s="23"/>
      <c r="BH46" s="5"/>
      <c r="BI46" s="5"/>
      <c r="BJ46" s="252"/>
    </row>
    <row r="47" spans="1:62" x14ac:dyDescent="0.25">
      <c r="A47" s="118">
        <v>1045</v>
      </c>
      <c r="B47" s="11" t="b">
        <v>1</v>
      </c>
      <c r="C47" s="11" t="b">
        <v>1</v>
      </c>
      <c r="D47" s="1" t="s">
        <v>253</v>
      </c>
      <c r="E47" s="5">
        <f t="shared" si="3"/>
        <v>0.02</v>
      </c>
      <c r="F47" s="5">
        <v>1</v>
      </c>
      <c r="G47" s="21" t="s">
        <v>218</v>
      </c>
      <c r="H47" s="20" t="s">
        <v>105</v>
      </c>
      <c r="I47" s="5">
        <f t="shared" si="15"/>
        <v>0</v>
      </c>
      <c r="J47" s="5" t="s">
        <v>105</v>
      </c>
      <c r="K47" s="21">
        <f t="shared" si="16"/>
        <v>10</v>
      </c>
      <c r="L47" s="21">
        <f t="shared" si="17"/>
        <v>0.5</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2"/>
    </row>
    <row r="48" spans="1:62" x14ac:dyDescent="0.25">
      <c r="A48" s="118">
        <v>1046</v>
      </c>
      <c r="B48" s="11" t="b">
        <v>1</v>
      </c>
      <c r="C48" s="11" t="b">
        <v>1</v>
      </c>
      <c r="D48" s="1" t="s">
        <v>254</v>
      </c>
      <c r="E48" s="5">
        <f t="shared" si="3"/>
        <v>0.02</v>
      </c>
      <c r="F48" s="5">
        <v>1</v>
      </c>
      <c r="G48" s="21" t="s">
        <v>218</v>
      </c>
      <c r="H48" s="20" t="s">
        <v>105</v>
      </c>
      <c r="I48" s="5">
        <f t="shared" si="15"/>
        <v>0</v>
      </c>
      <c r="J48" s="5" t="s">
        <v>105</v>
      </c>
      <c r="K48" s="21">
        <f t="shared" si="16"/>
        <v>10</v>
      </c>
      <c r="L48" s="21">
        <f t="shared" si="17"/>
        <v>0.5</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2"/>
    </row>
    <row r="49" spans="1:62" x14ac:dyDescent="0.25">
      <c r="A49" s="118">
        <v>1047</v>
      </c>
      <c r="B49" s="11" t="b">
        <v>1</v>
      </c>
      <c r="C49" s="11" t="b">
        <v>1</v>
      </c>
      <c r="D49" s="1" t="s">
        <v>255</v>
      </c>
      <c r="E49" s="5">
        <f t="shared" si="3"/>
        <v>0.02</v>
      </c>
      <c r="F49" s="5">
        <v>1</v>
      </c>
      <c r="G49" s="21" t="s">
        <v>218</v>
      </c>
      <c r="H49" s="20" t="s">
        <v>105</v>
      </c>
      <c r="I49" s="5">
        <f t="shared" si="15"/>
        <v>0</v>
      </c>
      <c r="J49" s="5" t="s">
        <v>105</v>
      </c>
      <c r="K49" s="21">
        <f t="shared" si="16"/>
        <v>10</v>
      </c>
      <c r="L49" s="21">
        <f t="shared" si="17"/>
        <v>0.5</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2"/>
    </row>
    <row r="50" spans="1:62" x14ac:dyDescent="0.25">
      <c r="A50" s="118">
        <v>1048</v>
      </c>
      <c r="B50" s="11" t="b">
        <v>1</v>
      </c>
      <c r="C50" s="11" t="b">
        <v>1</v>
      </c>
      <c r="D50" s="1" t="s">
        <v>256</v>
      </c>
      <c r="E50" s="5">
        <f t="shared" si="3"/>
        <v>0.02</v>
      </c>
      <c r="F50" s="5">
        <v>1</v>
      </c>
      <c r="G50" s="21" t="s">
        <v>218</v>
      </c>
      <c r="H50" s="20" t="s">
        <v>105</v>
      </c>
      <c r="I50" s="5">
        <f t="shared" si="15"/>
        <v>0</v>
      </c>
      <c r="J50" s="5" t="s">
        <v>105</v>
      </c>
      <c r="K50" s="21">
        <f t="shared" si="16"/>
        <v>10</v>
      </c>
      <c r="L50" s="21">
        <f t="shared" si="17"/>
        <v>0.5</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2">
        <v>0</v>
      </c>
    </row>
    <row r="51" spans="1:62" x14ac:dyDescent="0.25">
      <c r="A51" s="118">
        <v>1049</v>
      </c>
      <c r="B51" s="11" t="b">
        <v>1</v>
      </c>
      <c r="C51" s="11" t="b">
        <v>1</v>
      </c>
      <c r="D51" s="1" t="s">
        <v>257</v>
      </c>
      <c r="E51" s="5">
        <f t="shared" si="3"/>
        <v>0.02</v>
      </c>
      <c r="F51" s="5">
        <v>1</v>
      </c>
      <c r="G51" s="21" t="s">
        <v>218</v>
      </c>
      <c r="H51" s="20" t="s">
        <v>105</v>
      </c>
      <c r="I51" s="5">
        <f t="shared" si="15"/>
        <v>0</v>
      </c>
      <c r="J51" s="5" t="s">
        <v>105</v>
      </c>
      <c r="K51" s="21">
        <f t="shared" si="16"/>
        <v>10</v>
      </c>
      <c r="L51" s="21">
        <f t="shared" si="17"/>
        <v>0.5</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2"/>
    </row>
    <row r="52" spans="1:62" x14ac:dyDescent="0.25">
      <c r="A52" s="118">
        <v>1050</v>
      </c>
      <c r="B52" s="11" t="b">
        <v>1</v>
      </c>
      <c r="C52" s="11" t="b">
        <v>1</v>
      </c>
      <c r="D52" s="1" t="s">
        <v>258</v>
      </c>
      <c r="E52" s="5">
        <f t="shared" si="3"/>
        <v>0.02</v>
      </c>
      <c r="F52" s="5">
        <v>1</v>
      </c>
      <c r="G52" s="21" t="s">
        <v>218</v>
      </c>
      <c r="H52" s="20" t="s">
        <v>105</v>
      </c>
      <c r="I52" s="5">
        <f t="shared" si="15"/>
        <v>0</v>
      </c>
      <c r="J52" s="5" t="s">
        <v>105</v>
      </c>
      <c r="K52" s="21">
        <f t="shared" si="16"/>
        <v>10</v>
      </c>
      <c r="L52" s="21">
        <f t="shared" si="17"/>
        <v>0.5</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2"/>
    </row>
    <row r="53" spans="1:62" x14ac:dyDescent="0.25">
      <c r="A53" s="118">
        <v>1051</v>
      </c>
      <c r="B53" s="11" t="b">
        <v>1</v>
      </c>
      <c r="C53" s="11" t="b">
        <v>1</v>
      </c>
      <c r="D53" s="1" t="s">
        <v>754</v>
      </c>
      <c r="E53" s="5">
        <f t="shared" si="3"/>
        <v>0.02</v>
      </c>
      <c r="F53" s="24">
        <v>1</v>
      </c>
      <c r="G53" s="21" t="s">
        <v>218</v>
      </c>
      <c r="H53" s="20" t="s">
        <v>105</v>
      </c>
      <c r="I53" s="24">
        <f>IF(inp_default="Q(U)",D53,IF(inp_default="PF",1,0))</f>
        <v>0</v>
      </c>
      <c r="J53" s="21" t="s">
        <v>105</v>
      </c>
      <c r="K53" s="21">
        <f t="shared" si="16"/>
        <v>10</v>
      </c>
      <c r="L53" s="21">
        <f t="shared" si="17"/>
        <v>0.5</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2"/>
    </row>
    <row r="54" spans="1:62" x14ac:dyDescent="0.25">
      <c r="A54" s="118">
        <v>1052</v>
      </c>
      <c r="B54" s="11" t="b">
        <v>1</v>
      </c>
      <c r="C54" s="11" t="b">
        <v>1</v>
      </c>
      <c r="D54" s="1" t="s">
        <v>755</v>
      </c>
      <c r="E54" s="5">
        <f t="shared" si="3"/>
        <v>0.02</v>
      </c>
      <c r="F54" s="24">
        <v>1</v>
      </c>
      <c r="G54" s="21" t="s">
        <v>218</v>
      </c>
      <c r="H54" s="20" t="s">
        <v>105</v>
      </c>
      <c r="I54" s="24">
        <f>IF(inp_default="Q(U)",D54,IF(inp_default="PF",1,0))</f>
        <v>0</v>
      </c>
      <c r="J54" s="21" t="s">
        <v>105</v>
      </c>
      <c r="K54" s="21">
        <f>inp_scr_max</f>
        <v>30</v>
      </c>
      <c r="L54" s="21" t="str">
        <f>inp_xr_max</f>
        <v>Demand</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2"/>
    </row>
    <row r="55" spans="1:62" x14ac:dyDescent="0.25">
      <c r="A55" s="118">
        <v>1053</v>
      </c>
      <c r="B55" s="11" t="b">
        <v>1</v>
      </c>
      <c r="C55" s="11" t="b">
        <v>1</v>
      </c>
      <c r="D55" s="1" t="s">
        <v>756</v>
      </c>
      <c r="E55" s="5">
        <f t="shared" si="3"/>
        <v>0.02</v>
      </c>
      <c r="F55" s="5">
        <v>0.7</v>
      </c>
      <c r="G55" s="21" t="s">
        <v>218</v>
      </c>
      <c r="H55" s="20" t="s">
        <v>105</v>
      </c>
      <c r="I55" s="24">
        <f>IF(inp_default="Q(U)",D55,IF(inp_default="PF",1,0))</f>
        <v>0</v>
      </c>
      <c r="J55" s="5" t="s">
        <v>105</v>
      </c>
      <c r="K55" s="21">
        <f t="shared" si="16"/>
        <v>10</v>
      </c>
      <c r="L55" s="21">
        <f t="shared" si="17"/>
        <v>0.5</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2"/>
    </row>
    <row r="56" spans="1:62" x14ac:dyDescent="0.25">
      <c r="A56" s="118">
        <v>1054</v>
      </c>
      <c r="B56" s="11" t="b">
        <v>1</v>
      </c>
      <c r="C56" s="11" t="b">
        <v>1</v>
      </c>
      <c r="D56" s="1" t="s">
        <v>757</v>
      </c>
      <c r="E56" s="5">
        <f t="shared" si="3"/>
        <v>0.02</v>
      </c>
      <c r="F56" s="5">
        <v>0.7</v>
      </c>
      <c r="G56" s="21" t="s">
        <v>218</v>
      </c>
      <c r="H56" s="20" t="s">
        <v>105</v>
      </c>
      <c r="I56" s="24">
        <f>IF(inp_default="Q(U)",D56,IF(inp_default="PF",1,0))</f>
        <v>0</v>
      </c>
      <c r="J56" s="5" t="s">
        <v>105</v>
      </c>
      <c r="K56" s="21">
        <f t="shared" si="16"/>
        <v>10</v>
      </c>
      <c r="L56" s="21">
        <f t="shared" si="17"/>
        <v>0.5</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2"/>
    </row>
    <row r="57" spans="1:62" x14ac:dyDescent="0.25">
      <c r="A57" s="118">
        <v>1055</v>
      </c>
      <c r="B57" s="11" t="b">
        <v>1</v>
      </c>
      <c r="C57" s="11" t="b">
        <v>1</v>
      </c>
      <c r="D57" s="1" t="s">
        <v>259</v>
      </c>
      <c r="E57" s="5">
        <f t="shared" si="3"/>
        <v>0.02</v>
      </c>
      <c r="F57" s="5">
        <v>0.7</v>
      </c>
      <c r="G57" s="21" t="s">
        <v>218</v>
      </c>
      <c r="H57" s="20" t="s">
        <v>105</v>
      </c>
      <c r="I57" s="5">
        <f t="shared" ref="I57:I88" si="18">IF(inp_default="Q(U)",E57,IF(inp_default="PF",1,0))</f>
        <v>0</v>
      </c>
      <c r="J57" s="5" t="s">
        <v>105</v>
      </c>
      <c r="K57" s="21">
        <f t="shared" si="16"/>
        <v>10</v>
      </c>
      <c r="L57" s="21">
        <f t="shared" si="17"/>
        <v>0.5</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2"/>
    </row>
    <row r="58" spans="1:62" x14ac:dyDescent="0.25">
      <c r="A58" s="118">
        <v>1056</v>
      </c>
      <c r="B58" s="11" t="b">
        <v>1</v>
      </c>
      <c r="C58" s="11" t="b">
        <v>1</v>
      </c>
      <c r="D58" s="1" t="s">
        <v>260</v>
      </c>
      <c r="E58" s="5">
        <f t="shared" si="3"/>
        <v>0.02</v>
      </c>
      <c r="F58" s="5">
        <v>1</v>
      </c>
      <c r="G58" s="21" t="s">
        <v>218</v>
      </c>
      <c r="H58" s="20" t="s">
        <v>105</v>
      </c>
      <c r="I58" s="5">
        <f t="shared" si="18"/>
        <v>0</v>
      </c>
      <c r="J58" s="5" t="s">
        <v>105</v>
      </c>
      <c r="K58" s="21">
        <f t="shared" si="16"/>
        <v>10</v>
      </c>
      <c r="L58" s="21">
        <f t="shared" si="17"/>
        <v>0.5</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2"/>
    </row>
    <row r="59" spans="1:62" x14ac:dyDescent="0.25">
      <c r="A59" s="118">
        <v>1057</v>
      </c>
      <c r="B59" s="11" t="b">
        <v>1</v>
      </c>
      <c r="C59" s="11" t="b">
        <v>1</v>
      </c>
      <c r="D59" s="1" t="s">
        <v>261</v>
      </c>
      <c r="E59" s="5">
        <f t="shared" si="3"/>
        <v>0.02</v>
      </c>
      <c r="F59" s="5">
        <v>1</v>
      </c>
      <c r="G59" s="21" t="s">
        <v>218</v>
      </c>
      <c r="H59" s="20" t="s">
        <v>105</v>
      </c>
      <c r="I59" s="5">
        <f t="shared" si="18"/>
        <v>0</v>
      </c>
      <c r="J59" s="5" t="s">
        <v>105</v>
      </c>
      <c r="K59" s="21">
        <f t="shared" si="16"/>
        <v>10</v>
      </c>
      <c r="L59" s="21">
        <f t="shared" si="17"/>
        <v>0.5</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2"/>
    </row>
    <row r="60" spans="1:62" x14ac:dyDescent="0.25">
      <c r="A60" s="118">
        <v>1058</v>
      </c>
      <c r="B60" s="11" t="b">
        <v>1</v>
      </c>
      <c r="C60" s="11" t="b">
        <v>1</v>
      </c>
      <c r="D60" s="1" t="s">
        <v>262</v>
      </c>
      <c r="E60" s="5">
        <f t="shared" si="3"/>
        <v>0.02</v>
      </c>
      <c r="F60" s="5">
        <v>1</v>
      </c>
      <c r="G60" s="21" t="s">
        <v>218</v>
      </c>
      <c r="H60" s="20" t="s">
        <v>105</v>
      </c>
      <c r="I60" s="5">
        <f t="shared" si="18"/>
        <v>0</v>
      </c>
      <c r="J60" s="5" t="s">
        <v>105</v>
      </c>
      <c r="K60" s="21">
        <f t="shared" si="16"/>
        <v>10</v>
      </c>
      <c r="L60" s="21">
        <f t="shared" si="17"/>
        <v>0.5</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2"/>
    </row>
    <row r="61" spans="1:62" x14ac:dyDescent="0.25">
      <c r="A61" s="118">
        <v>1059</v>
      </c>
      <c r="B61" s="11" t="b">
        <v>1</v>
      </c>
      <c r="C61" s="11" t="b">
        <v>1</v>
      </c>
      <c r="D61" s="1" t="s">
        <v>793</v>
      </c>
      <c r="E61" s="5">
        <f t="shared" si="3"/>
        <v>0.02</v>
      </c>
      <c r="F61" s="5">
        <v>0.5</v>
      </c>
      <c r="G61" s="21" t="s">
        <v>218</v>
      </c>
      <c r="H61" s="20" t="s">
        <v>105</v>
      </c>
      <c r="I61" s="5">
        <f t="shared" si="18"/>
        <v>0</v>
      </c>
      <c r="J61" s="5" t="s">
        <v>105</v>
      </c>
      <c r="K61" s="21">
        <f t="shared" si="16"/>
        <v>10</v>
      </c>
      <c r="L61" s="21">
        <f t="shared" si="17"/>
        <v>0.5</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2"/>
    </row>
    <row r="62" spans="1:62" x14ac:dyDescent="0.25">
      <c r="A62" s="118">
        <v>1060</v>
      </c>
      <c r="B62" s="11" t="b">
        <v>1</v>
      </c>
      <c r="C62" s="11" t="b">
        <v>1</v>
      </c>
      <c r="D62" s="1" t="s">
        <v>758</v>
      </c>
      <c r="E62" s="5">
        <f t="shared" si="3"/>
        <v>0.02</v>
      </c>
      <c r="F62" s="5">
        <v>1</v>
      </c>
      <c r="G62" s="21" t="s">
        <v>218</v>
      </c>
      <c r="H62" s="20" t="s">
        <v>105</v>
      </c>
      <c r="I62" s="5">
        <f t="shared" si="18"/>
        <v>0</v>
      </c>
      <c r="J62" s="5" t="s">
        <v>105</v>
      </c>
      <c r="K62" s="21">
        <f t="shared" si="16"/>
        <v>10</v>
      </c>
      <c r="L62" s="21">
        <f t="shared" si="17"/>
        <v>0.5</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2"/>
    </row>
    <row r="63" spans="1:62" ht="14.1" customHeight="1" x14ac:dyDescent="0.25">
      <c r="A63" s="118">
        <v>1061</v>
      </c>
      <c r="B63" s="11" t="b">
        <v>1</v>
      </c>
      <c r="C63" s="11" t="b">
        <v>1</v>
      </c>
      <c r="D63" s="1" t="s">
        <v>263</v>
      </c>
      <c r="E63" s="5">
        <f t="shared" si="3"/>
        <v>0.02</v>
      </c>
      <c r="F63" s="5">
        <v>1</v>
      </c>
      <c r="G63" s="21" t="s">
        <v>218</v>
      </c>
      <c r="H63" s="20" t="s">
        <v>105</v>
      </c>
      <c r="I63" s="5">
        <f t="shared" si="18"/>
        <v>0</v>
      </c>
      <c r="J63" s="5" t="s">
        <v>105</v>
      </c>
      <c r="K63" s="21">
        <f t="shared" si="16"/>
        <v>10</v>
      </c>
      <c r="L63" s="21">
        <f t="shared" si="17"/>
        <v>0.5</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2"/>
    </row>
    <row r="64" spans="1:62" x14ac:dyDescent="0.25">
      <c r="A64" s="118">
        <v>1062</v>
      </c>
      <c r="B64" s="11" t="b">
        <v>1</v>
      </c>
      <c r="C64" s="11" t="b">
        <v>1</v>
      </c>
      <c r="D64" s="1" t="s">
        <v>264</v>
      </c>
      <c r="E64" s="5">
        <f t="shared" si="3"/>
        <v>0.02</v>
      </c>
      <c r="F64" s="5">
        <v>1</v>
      </c>
      <c r="G64" s="21" t="s">
        <v>218</v>
      </c>
      <c r="H64" s="20" t="s">
        <v>105</v>
      </c>
      <c r="I64" s="5">
        <f t="shared" si="18"/>
        <v>0</v>
      </c>
      <c r="J64" s="5" t="s">
        <v>105</v>
      </c>
      <c r="K64" s="21">
        <f t="shared" si="16"/>
        <v>10</v>
      </c>
      <c r="L64" s="21">
        <f t="shared" si="17"/>
        <v>0.5</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2"/>
    </row>
    <row r="65" spans="1:62" x14ac:dyDescent="0.25">
      <c r="A65" s="118">
        <v>1063</v>
      </c>
      <c r="B65" s="11" t="b">
        <v>1</v>
      </c>
      <c r="C65" s="11" t="b">
        <v>1</v>
      </c>
      <c r="D65" s="1" t="s">
        <v>265</v>
      </c>
      <c r="E65" s="5">
        <f>inp_Uc/inp_Un</f>
        <v>0.02</v>
      </c>
      <c r="F65" s="5">
        <v>1</v>
      </c>
      <c r="G65" s="21" t="s">
        <v>218</v>
      </c>
      <c r="H65" s="20" t="s">
        <v>105</v>
      </c>
      <c r="I65" s="5">
        <f t="shared" si="18"/>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2"/>
    </row>
    <row r="66" spans="1:62" x14ac:dyDescent="0.25">
      <c r="A66" s="118">
        <v>1064</v>
      </c>
      <c r="B66" s="11" t="b">
        <v>1</v>
      </c>
      <c r="C66" s="11" t="b">
        <v>1</v>
      </c>
      <c r="D66" s="1" t="s">
        <v>266</v>
      </c>
      <c r="E66" s="5">
        <f>sel_uq_q0.33ue_umax</f>
        <v>1.1180000000000001</v>
      </c>
      <c r="F66" s="5">
        <v>1</v>
      </c>
      <c r="G66" s="21" t="s">
        <v>218</v>
      </c>
      <c r="H66" s="20" t="s">
        <v>105</v>
      </c>
      <c r="I66" s="5">
        <f t="shared" si="18"/>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2"/>
    </row>
    <row r="67" spans="1:62" x14ac:dyDescent="0.25">
      <c r="A67" s="118">
        <v>1065</v>
      </c>
      <c r="B67" s="11" t="b">
        <v>1</v>
      </c>
      <c r="C67" s="11" t="b">
        <v>1</v>
      </c>
      <c r="D67" s="1" t="s">
        <v>267</v>
      </c>
      <c r="E67" s="5">
        <f>inp_Uc/inp_Un</f>
        <v>0.02</v>
      </c>
      <c r="F67" s="5">
        <v>1</v>
      </c>
      <c r="G67" s="21" t="s">
        <v>218</v>
      </c>
      <c r="H67" s="20" t="s">
        <v>105</v>
      </c>
      <c r="I67" s="5">
        <f t="shared" si="18"/>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2"/>
    </row>
    <row r="68" spans="1:62" x14ac:dyDescent="0.25">
      <c r="A68" s="118">
        <v>1066</v>
      </c>
      <c r="B68" s="11" t="b">
        <v>1</v>
      </c>
      <c r="C68" s="11" t="b">
        <v>1</v>
      </c>
      <c r="D68" s="1" t="s">
        <v>268</v>
      </c>
      <c r="E68" s="5">
        <v>1</v>
      </c>
      <c r="F68" s="5">
        <v>1</v>
      </c>
      <c r="G68" s="21" t="s">
        <v>218</v>
      </c>
      <c r="H68" s="20" t="s">
        <v>105</v>
      </c>
      <c r="I68" s="5">
        <f t="shared" si="18"/>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2"/>
    </row>
    <row r="69" spans="1:62" x14ac:dyDescent="0.25">
      <c r="A69" s="118">
        <v>1067</v>
      </c>
      <c r="B69" s="11" t="b">
        <v>1</v>
      </c>
      <c r="C69" s="11" t="b">
        <v>1</v>
      </c>
      <c r="D69" s="1" t="s">
        <v>269</v>
      </c>
      <c r="E69" s="5">
        <v>0.95</v>
      </c>
      <c r="F69" s="5">
        <v>1</v>
      </c>
      <c r="G69" s="21" t="s">
        <v>218</v>
      </c>
      <c r="H69" s="20" t="s">
        <v>105</v>
      </c>
      <c r="I69" s="5">
        <f t="shared" si="18"/>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2"/>
    </row>
    <row r="70" spans="1:62" x14ac:dyDescent="0.25">
      <c r="A70" s="118">
        <v>1068</v>
      </c>
      <c r="B70" s="11" t="b">
        <v>1</v>
      </c>
      <c r="C70" s="11" t="b">
        <v>1</v>
      </c>
      <c r="D70" s="1" t="s">
        <v>759</v>
      </c>
      <c r="E70" s="5">
        <f t="shared" ref="E70:E77" si="19">inp_Uc/inp_Un</f>
        <v>0.02</v>
      </c>
      <c r="F70" s="5">
        <v>1</v>
      </c>
      <c r="G70" s="21" t="s">
        <v>218</v>
      </c>
      <c r="H70" s="20" t="s">
        <v>105</v>
      </c>
      <c r="I70" s="5">
        <f t="shared" si="18"/>
        <v>0</v>
      </c>
      <c r="J70" s="5" t="s">
        <v>105</v>
      </c>
      <c r="K70" s="21">
        <f t="shared" ref="K70:K71" si="20">inp_scr_min</f>
        <v>10</v>
      </c>
      <c r="L70" s="21">
        <f t="shared" ref="L70:L71" si="21">inp_xr_min</f>
        <v>0.5</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2"/>
    </row>
    <row r="71" spans="1:62" x14ac:dyDescent="0.25">
      <c r="A71" s="118">
        <v>1069</v>
      </c>
      <c r="B71" s="11" t="b">
        <v>1</v>
      </c>
      <c r="C71" s="11" t="b">
        <v>1</v>
      </c>
      <c r="D71" s="1" t="s">
        <v>760</v>
      </c>
      <c r="E71" s="5">
        <f t="shared" si="19"/>
        <v>0.02</v>
      </c>
      <c r="F71" s="5">
        <v>1</v>
      </c>
      <c r="G71" s="21" t="s">
        <v>218</v>
      </c>
      <c r="H71" s="20" t="s">
        <v>105</v>
      </c>
      <c r="I71" s="5">
        <f t="shared" si="18"/>
        <v>0</v>
      </c>
      <c r="J71" s="5" t="s">
        <v>105</v>
      </c>
      <c r="K71" s="21">
        <f t="shared" si="20"/>
        <v>10</v>
      </c>
      <c r="L71" s="21">
        <f t="shared" si="21"/>
        <v>0.5</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2"/>
    </row>
    <row r="72" spans="1:62" ht="14.1" customHeight="1" x14ac:dyDescent="0.25">
      <c r="A72" s="118">
        <v>1070</v>
      </c>
      <c r="B72" s="11" t="b">
        <v>1</v>
      </c>
      <c r="C72" s="11" t="b">
        <v>1</v>
      </c>
      <c r="D72" s="1" t="s">
        <v>761</v>
      </c>
      <c r="E72" s="5">
        <f t="shared" si="19"/>
        <v>0.02</v>
      </c>
      <c r="F72" s="5">
        <v>1</v>
      </c>
      <c r="G72" s="21" t="s">
        <v>218</v>
      </c>
      <c r="H72" s="20" t="s">
        <v>105</v>
      </c>
      <c r="I72" s="5">
        <f t="shared" si="18"/>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0.02</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2"/>
    </row>
    <row r="73" spans="1:62" x14ac:dyDescent="0.25">
      <c r="A73" s="118">
        <v>1071</v>
      </c>
      <c r="B73" s="11" t="b">
        <v>1</v>
      </c>
      <c r="C73" s="11" t="b">
        <v>1</v>
      </c>
      <c r="D73" s="1" t="s">
        <v>762</v>
      </c>
      <c r="E73" s="5">
        <f t="shared" si="19"/>
        <v>0.02</v>
      </c>
      <c r="F73" s="5">
        <v>1</v>
      </c>
      <c r="G73" s="21" t="s">
        <v>218</v>
      </c>
      <c r="H73" s="20" t="s">
        <v>105</v>
      </c>
      <c r="I73" s="5">
        <f t="shared" si="18"/>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0.02</v>
      </c>
      <c r="AL73" s="5"/>
      <c r="AN73" s="17"/>
      <c r="AO73" s="17"/>
      <c r="AP73" s="17"/>
      <c r="AR73" s="5"/>
      <c r="AS73" s="5"/>
      <c r="AT73" s="5"/>
      <c r="AV73" s="17"/>
      <c r="AW73" s="17"/>
      <c r="AX73" s="17"/>
      <c r="AZ73" s="5"/>
      <c r="BA73" s="5"/>
      <c r="BB73" s="5"/>
      <c r="BD73" s="17"/>
      <c r="BE73" s="17"/>
      <c r="BF73" s="17"/>
      <c r="BH73" s="5"/>
      <c r="BI73" s="5"/>
      <c r="BJ73" s="252"/>
    </row>
    <row r="74" spans="1:62" x14ac:dyDescent="0.25">
      <c r="A74" s="118">
        <v>1072</v>
      </c>
      <c r="B74" s="11" t="b">
        <v>1</v>
      </c>
      <c r="C74" s="11" t="b">
        <v>1</v>
      </c>
      <c r="D74" s="1" t="s">
        <v>351</v>
      </c>
      <c r="E74" s="5">
        <f t="shared" si="19"/>
        <v>0.02</v>
      </c>
      <c r="F74" s="5">
        <v>1</v>
      </c>
      <c r="G74" s="21" t="s">
        <v>218</v>
      </c>
      <c r="H74" s="20" t="s">
        <v>105</v>
      </c>
      <c r="I74" s="5">
        <f t="shared" si="18"/>
        <v>0</v>
      </c>
      <c r="J74" s="5" t="s">
        <v>105</v>
      </c>
      <c r="K74" s="21">
        <f t="shared" ref="K74" si="22">inp_scr_min</f>
        <v>10</v>
      </c>
      <c r="L74" s="21">
        <f t="shared" ref="L74:L75" si="23">inp_xr_min</f>
        <v>0.5</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7"/>
    </row>
    <row r="75" spans="1:62" x14ac:dyDescent="0.25">
      <c r="A75" s="118">
        <v>1073</v>
      </c>
      <c r="B75" s="11" t="b">
        <v>1</v>
      </c>
      <c r="C75" s="11" t="b">
        <v>1</v>
      </c>
      <c r="D75" s="1" t="s">
        <v>763</v>
      </c>
      <c r="E75" s="5">
        <f t="shared" si="19"/>
        <v>0.02</v>
      </c>
      <c r="F75" s="5">
        <v>1</v>
      </c>
      <c r="G75" s="21" t="s">
        <v>218</v>
      </c>
      <c r="H75" s="20" t="s">
        <v>105</v>
      </c>
      <c r="I75" s="5">
        <f t="shared" si="18"/>
        <v>0</v>
      </c>
      <c r="J75" s="5" t="s">
        <v>105</v>
      </c>
      <c r="K75" s="21">
        <f>inp_scr_max</f>
        <v>30</v>
      </c>
      <c r="L75" s="21">
        <f t="shared" si="23"/>
        <v>0.5</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7"/>
    </row>
    <row r="76" spans="1:62" x14ac:dyDescent="0.25">
      <c r="A76" s="118">
        <v>1074</v>
      </c>
      <c r="B76" s="11" t="b">
        <v>1</v>
      </c>
      <c r="C76" s="11" t="b">
        <v>1</v>
      </c>
      <c r="D76" s="1" t="s">
        <v>352</v>
      </c>
      <c r="E76" s="5">
        <f t="shared" si="19"/>
        <v>0.02</v>
      </c>
      <c r="F76" s="5">
        <v>1</v>
      </c>
      <c r="G76" s="21" t="s">
        <v>218</v>
      </c>
      <c r="H76" s="20" t="s">
        <v>105</v>
      </c>
      <c r="I76" s="5">
        <f t="shared" si="18"/>
        <v>0</v>
      </c>
      <c r="J76" s="5" t="s">
        <v>105</v>
      </c>
      <c r="K76" s="21">
        <f t="shared" ref="K76" si="24">inp_scr_min</f>
        <v>10</v>
      </c>
      <c r="L76" s="21">
        <f t="shared" ref="L76:L77" si="25">inp_xr_min</f>
        <v>0.5</v>
      </c>
      <c r="M76" s="21" t="s">
        <v>105</v>
      </c>
      <c r="N76" s="6">
        <v>20</v>
      </c>
      <c r="O76" s="18" t="s">
        <v>109</v>
      </c>
      <c r="P76" s="17">
        <v>0</v>
      </c>
      <c r="Q76" s="17">
        <v>-0.1</v>
      </c>
      <c r="R76" s="17">
        <v>0</v>
      </c>
      <c r="S76" s="23" t="s">
        <v>109</v>
      </c>
      <c r="T76" s="5">
        <f t="shared" ref="T76:T79" si="26">P76+0.1</f>
        <v>0.1</v>
      </c>
      <c r="U76" s="5">
        <v>0</v>
      </c>
      <c r="V76" s="5"/>
      <c r="W76" s="18" t="s">
        <v>109</v>
      </c>
      <c r="X76" s="17">
        <v>3</v>
      </c>
      <c r="Y76" s="17">
        <v>-0.15</v>
      </c>
      <c r="Z76" s="17"/>
      <c r="AA76" s="23" t="s">
        <v>109</v>
      </c>
      <c r="AB76" s="5">
        <f t="shared" ref="AB76:AB79" si="27">X76+0.1</f>
        <v>3.1</v>
      </c>
      <c r="AC76" s="5">
        <v>0</v>
      </c>
      <c r="AD76" s="5"/>
      <c r="AE76" s="18" t="s">
        <v>109</v>
      </c>
      <c r="AF76" s="17">
        <v>6</v>
      </c>
      <c r="AG76" s="17">
        <v>-0.2</v>
      </c>
      <c r="AH76" s="17"/>
      <c r="AI76" s="23" t="s">
        <v>109</v>
      </c>
      <c r="AJ76" s="5">
        <f t="shared" ref="AJ76:AJ79" si="28">AF76+0.1</f>
        <v>6.1</v>
      </c>
      <c r="AK76" s="5">
        <v>0</v>
      </c>
      <c r="AL76" s="5"/>
      <c r="AM76" s="18" t="s">
        <v>109</v>
      </c>
      <c r="AN76" s="17">
        <v>9</v>
      </c>
      <c r="AO76" s="17">
        <v>-0.25</v>
      </c>
      <c r="AP76" s="17"/>
      <c r="AQ76" s="23" t="s">
        <v>109</v>
      </c>
      <c r="AR76" s="5">
        <f t="shared" ref="AR76:AR79" si="29">AN76+0.1</f>
        <v>9.1</v>
      </c>
      <c r="AS76" s="5">
        <v>0</v>
      </c>
      <c r="AT76" s="5"/>
      <c r="AU76" s="18" t="s">
        <v>109</v>
      </c>
      <c r="AV76" s="17">
        <v>12</v>
      </c>
      <c r="AW76" s="17">
        <v>-0.3</v>
      </c>
      <c r="AX76" s="17"/>
      <c r="AY76" s="23" t="s">
        <v>109</v>
      </c>
      <c r="AZ76" s="5">
        <f t="shared" ref="AZ76:AZ78" si="30">AV76+0.1</f>
        <v>12.1</v>
      </c>
      <c r="BA76" s="5">
        <v>0</v>
      </c>
      <c r="BB76" s="5"/>
      <c r="BC76" s="18" t="s">
        <v>109</v>
      </c>
      <c r="BD76" s="17">
        <v>15</v>
      </c>
      <c r="BE76" s="17">
        <v>-0.35</v>
      </c>
      <c r="BF76" s="17"/>
      <c r="BG76" s="23" t="s">
        <v>109</v>
      </c>
      <c r="BH76" s="5">
        <f t="shared" ref="BH76:BH78" si="31">BD76+0.1</f>
        <v>15.1</v>
      </c>
      <c r="BI76" s="5">
        <v>0</v>
      </c>
      <c r="BJ76" s="257"/>
    </row>
    <row r="77" spans="1:62" x14ac:dyDescent="0.25">
      <c r="A77" s="118">
        <v>1075</v>
      </c>
      <c r="B77" s="11" t="b">
        <v>1</v>
      </c>
      <c r="C77" s="11" t="b">
        <v>1</v>
      </c>
      <c r="D77" s="1" t="s">
        <v>764</v>
      </c>
      <c r="E77" s="5">
        <f t="shared" si="19"/>
        <v>0.02</v>
      </c>
      <c r="F77" s="5">
        <v>1</v>
      </c>
      <c r="G77" s="21" t="s">
        <v>218</v>
      </c>
      <c r="H77" s="20" t="s">
        <v>105</v>
      </c>
      <c r="I77" s="5">
        <f t="shared" si="18"/>
        <v>0</v>
      </c>
      <c r="J77" s="5" t="s">
        <v>105</v>
      </c>
      <c r="K77" s="21">
        <f>inp_scr_max</f>
        <v>30</v>
      </c>
      <c r="L77" s="21">
        <f t="shared" si="25"/>
        <v>0.5</v>
      </c>
      <c r="M77" s="21" t="s">
        <v>105</v>
      </c>
      <c r="N77" s="6">
        <v>20</v>
      </c>
      <c r="O77" s="18" t="s">
        <v>109</v>
      </c>
      <c r="P77" s="17">
        <v>0</v>
      </c>
      <c r="Q77" s="17">
        <v>-0.1</v>
      </c>
      <c r="R77" s="17">
        <v>0</v>
      </c>
      <c r="S77" s="23" t="s">
        <v>109</v>
      </c>
      <c r="T77" s="5">
        <f t="shared" si="26"/>
        <v>0.1</v>
      </c>
      <c r="U77" s="5">
        <v>0</v>
      </c>
      <c r="V77" s="5"/>
      <c r="W77" s="18" t="s">
        <v>109</v>
      </c>
      <c r="X77" s="17">
        <v>3</v>
      </c>
      <c r="Y77" s="17">
        <v>-0.15</v>
      </c>
      <c r="Z77" s="17"/>
      <c r="AA77" s="23" t="s">
        <v>109</v>
      </c>
      <c r="AB77" s="5">
        <f t="shared" si="27"/>
        <v>3.1</v>
      </c>
      <c r="AC77" s="5">
        <v>0</v>
      </c>
      <c r="AD77" s="5"/>
      <c r="AE77" s="18" t="s">
        <v>109</v>
      </c>
      <c r="AF77" s="17">
        <v>6</v>
      </c>
      <c r="AG77" s="17">
        <v>-0.2</v>
      </c>
      <c r="AH77" s="17"/>
      <c r="AI77" s="23" t="s">
        <v>109</v>
      </c>
      <c r="AJ77" s="5">
        <f t="shared" si="28"/>
        <v>6.1</v>
      </c>
      <c r="AK77" s="5">
        <v>0</v>
      </c>
      <c r="AL77" s="5"/>
      <c r="AM77" s="18" t="s">
        <v>109</v>
      </c>
      <c r="AN77" s="17">
        <v>9</v>
      </c>
      <c r="AO77" s="17">
        <v>-0.25</v>
      </c>
      <c r="AP77" s="17"/>
      <c r="AQ77" s="23" t="s">
        <v>109</v>
      </c>
      <c r="AR77" s="5">
        <f t="shared" si="29"/>
        <v>9.1</v>
      </c>
      <c r="AS77" s="5">
        <v>0</v>
      </c>
      <c r="AT77" s="5"/>
      <c r="AU77" s="18" t="s">
        <v>109</v>
      </c>
      <c r="AV77" s="17">
        <v>12</v>
      </c>
      <c r="AW77" s="17">
        <v>-0.3</v>
      </c>
      <c r="AX77" s="17"/>
      <c r="AY77" s="23" t="s">
        <v>109</v>
      </c>
      <c r="AZ77" s="5">
        <f t="shared" si="30"/>
        <v>12.1</v>
      </c>
      <c r="BA77" s="5">
        <v>0</v>
      </c>
      <c r="BB77" s="5"/>
      <c r="BC77" s="18" t="s">
        <v>109</v>
      </c>
      <c r="BD77" s="17">
        <v>15</v>
      </c>
      <c r="BE77" s="17">
        <v>-0.35</v>
      </c>
      <c r="BF77" s="17"/>
      <c r="BG77" s="23" t="s">
        <v>109</v>
      </c>
      <c r="BH77" s="5">
        <f t="shared" si="31"/>
        <v>15.1</v>
      </c>
      <c r="BI77" s="5">
        <v>0</v>
      </c>
      <c r="BJ77" s="257"/>
    </row>
    <row r="78" spans="1:62" x14ac:dyDescent="0.25">
      <c r="A78" s="118">
        <v>1076</v>
      </c>
      <c r="B78" s="11" t="b">
        <v>1</v>
      </c>
      <c r="C78" s="11" t="b">
        <v>1</v>
      </c>
      <c r="D78" s="1" t="s">
        <v>765</v>
      </c>
      <c r="E78" s="5">
        <f t="shared" ref="E78:E79" si="32">inp_Uc/inp_Un</f>
        <v>0.02</v>
      </c>
      <c r="F78" s="5">
        <v>1</v>
      </c>
      <c r="G78" s="21" t="s">
        <v>218</v>
      </c>
      <c r="H78" s="20" t="s">
        <v>105</v>
      </c>
      <c r="I78" s="5">
        <f t="shared" si="18"/>
        <v>0</v>
      </c>
      <c r="J78" s="5" t="s">
        <v>105</v>
      </c>
      <c r="K78" s="21">
        <v>-1</v>
      </c>
      <c r="L78" s="21">
        <v>0</v>
      </c>
      <c r="M78" s="21" t="s">
        <v>105</v>
      </c>
      <c r="N78" s="6">
        <v>20</v>
      </c>
      <c r="O78" s="18" t="s">
        <v>107</v>
      </c>
      <c r="P78" s="17">
        <v>0</v>
      </c>
      <c r="Q78" s="17">
        <v>52</v>
      </c>
      <c r="R78" s="17">
        <v>0</v>
      </c>
      <c r="S78" s="1" t="s">
        <v>107</v>
      </c>
      <c r="T78" s="5">
        <f t="shared" si="26"/>
        <v>0.1</v>
      </c>
      <c r="U78" s="5">
        <v>50</v>
      </c>
      <c r="V78" s="5"/>
      <c r="W78" s="18" t="s">
        <v>107</v>
      </c>
      <c r="X78" s="17">
        <v>3</v>
      </c>
      <c r="Y78" s="17">
        <v>52.5</v>
      </c>
      <c r="Z78" s="17"/>
      <c r="AA78" s="1" t="s">
        <v>107</v>
      </c>
      <c r="AB78" s="5">
        <f t="shared" si="27"/>
        <v>3.1</v>
      </c>
      <c r="AC78" s="5">
        <v>50</v>
      </c>
      <c r="AD78" s="5"/>
      <c r="AE78" s="18" t="s">
        <v>107</v>
      </c>
      <c r="AF78" s="17">
        <v>6</v>
      </c>
      <c r="AG78" s="17">
        <v>53</v>
      </c>
      <c r="AH78" s="17"/>
      <c r="AI78" s="1" t="s">
        <v>107</v>
      </c>
      <c r="AJ78" s="5">
        <f t="shared" si="28"/>
        <v>6.1</v>
      </c>
      <c r="AK78" s="5">
        <v>50</v>
      </c>
      <c r="AL78" s="5"/>
      <c r="AM78" s="18" t="s">
        <v>107</v>
      </c>
      <c r="AN78" s="17">
        <v>9</v>
      </c>
      <c r="AO78" s="17">
        <v>55</v>
      </c>
      <c r="AP78" s="17"/>
      <c r="AQ78" s="1" t="s">
        <v>107</v>
      </c>
      <c r="AR78" s="5">
        <f t="shared" si="29"/>
        <v>9.1</v>
      </c>
      <c r="AS78" s="5">
        <v>50</v>
      </c>
      <c r="AT78" s="5"/>
      <c r="AU78" s="18" t="s">
        <v>107</v>
      </c>
      <c r="AV78" s="17">
        <v>12</v>
      </c>
      <c r="AW78" s="17">
        <v>60</v>
      </c>
      <c r="AX78" s="17"/>
      <c r="AY78" s="1" t="s">
        <v>107</v>
      </c>
      <c r="AZ78" s="5">
        <f t="shared" si="30"/>
        <v>12.1</v>
      </c>
      <c r="BA78" s="5">
        <v>50</v>
      </c>
      <c r="BB78" s="5"/>
      <c r="BC78" s="18" t="s">
        <v>107</v>
      </c>
      <c r="BD78" s="17">
        <v>15</v>
      </c>
      <c r="BE78" s="17">
        <v>65</v>
      </c>
      <c r="BF78" s="17"/>
      <c r="BG78" s="1" t="s">
        <v>107</v>
      </c>
      <c r="BH78" s="5">
        <f t="shared" si="31"/>
        <v>15.1</v>
      </c>
      <c r="BI78" s="5">
        <v>50</v>
      </c>
      <c r="BJ78" s="257"/>
    </row>
    <row r="79" spans="1:62" x14ac:dyDescent="0.25">
      <c r="A79" s="118">
        <v>1077</v>
      </c>
      <c r="B79" s="11" t="b">
        <v>1</v>
      </c>
      <c r="C79" s="11" t="b">
        <v>1</v>
      </c>
      <c r="D79" s="1" t="s">
        <v>766</v>
      </c>
      <c r="E79" s="5">
        <f t="shared" si="32"/>
        <v>0.02</v>
      </c>
      <c r="F79" s="5">
        <v>1</v>
      </c>
      <c r="G79" s="21" t="s">
        <v>218</v>
      </c>
      <c r="H79" s="20" t="s">
        <v>105</v>
      </c>
      <c r="I79" s="5">
        <f t="shared" si="18"/>
        <v>0</v>
      </c>
      <c r="J79" s="5" t="s">
        <v>105</v>
      </c>
      <c r="K79" s="21">
        <v>-1</v>
      </c>
      <c r="L79" s="21">
        <v>0</v>
      </c>
      <c r="M79" s="21" t="s">
        <v>105</v>
      </c>
      <c r="N79" s="6">
        <v>15</v>
      </c>
      <c r="O79" s="18" t="s">
        <v>107</v>
      </c>
      <c r="P79" s="17">
        <v>0</v>
      </c>
      <c r="Q79" s="17">
        <v>47.5</v>
      </c>
      <c r="R79" s="17">
        <v>0</v>
      </c>
      <c r="S79" s="1" t="s">
        <v>107</v>
      </c>
      <c r="T79" s="5">
        <f t="shared" si="26"/>
        <v>0.1</v>
      </c>
      <c r="U79" s="5">
        <v>50</v>
      </c>
      <c r="V79" s="5"/>
      <c r="W79" s="18" t="s">
        <v>107</v>
      </c>
      <c r="X79" s="17">
        <v>3</v>
      </c>
      <c r="Y79" s="17">
        <v>47</v>
      </c>
      <c r="Z79" s="17"/>
      <c r="AA79" s="1" t="s">
        <v>107</v>
      </c>
      <c r="AB79" s="5">
        <f t="shared" si="27"/>
        <v>3.1</v>
      </c>
      <c r="AC79" s="5">
        <v>50</v>
      </c>
      <c r="AD79" s="5"/>
      <c r="AE79" s="18" t="s">
        <v>107</v>
      </c>
      <c r="AF79" s="17">
        <v>6</v>
      </c>
      <c r="AG79" s="17">
        <v>46.5</v>
      </c>
      <c r="AH79" s="17"/>
      <c r="AI79" s="1" t="s">
        <v>107</v>
      </c>
      <c r="AJ79" s="5">
        <f t="shared" si="28"/>
        <v>6.1</v>
      </c>
      <c r="AK79" s="5">
        <v>50</v>
      </c>
      <c r="AL79" s="5"/>
      <c r="AM79" s="18" t="s">
        <v>107</v>
      </c>
      <c r="AN79" s="17">
        <v>9</v>
      </c>
      <c r="AO79" s="17">
        <v>46</v>
      </c>
      <c r="AP79" s="17"/>
      <c r="AQ79" s="1" t="s">
        <v>107</v>
      </c>
      <c r="AR79" s="5">
        <f t="shared" si="29"/>
        <v>9.1</v>
      </c>
      <c r="AS79" s="5">
        <v>50</v>
      </c>
      <c r="AT79" s="5"/>
      <c r="AV79" s="17"/>
      <c r="AW79" s="17"/>
      <c r="AX79" s="17"/>
      <c r="AZ79" s="5"/>
      <c r="BA79" s="5"/>
      <c r="BB79" s="5"/>
      <c r="BD79" s="17"/>
      <c r="BE79" s="17"/>
      <c r="BF79" s="17"/>
      <c r="BH79" s="5"/>
      <c r="BI79" s="5"/>
      <c r="BJ79" s="257"/>
    </row>
    <row r="80" spans="1:62" x14ac:dyDescent="0.25">
      <c r="A80" s="118">
        <v>1078</v>
      </c>
      <c r="B80" s="11" t="b">
        <v>1</v>
      </c>
      <c r="C80" s="11" t="b">
        <v>1</v>
      </c>
      <c r="D80" s="1" t="s">
        <v>767</v>
      </c>
      <c r="E80" s="5">
        <v>1</v>
      </c>
      <c r="F80" s="5">
        <v>1</v>
      </c>
      <c r="G80" s="21" t="s">
        <v>218</v>
      </c>
      <c r="H80" s="20" t="s">
        <v>105</v>
      </c>
      <c r="I80" s="5">
        <f t="shared" si="18"/>
        <v>0</v>
      </c>
      <c r="J80" s="5" t="s">
        <v>105</v>
      </c>
      <c r="K80" s="21">
        <f t="shared" ref="K80:K87" si="33">inp_scr_min</f>
        <v>10</v>
      </c>
      <c r="L80" s="21">
        <f t="shared" ref="L80:L88" si="34">inp_xr_min</f>
        <v>0.5</v>
      </c>
      <c r="M80" s="21" t="s">
        <v>105</v>
      </c>
      <c r="N80" s="6">
        <v>60</v>
      </c>
      <c r="O80" s="258" t="s">
        <v>109</v>
      </c>
      <c r="P80" s="259">
        <v>0</v>
      </c>
      <c r="Q80" s="259">
        <v>0.2</v>
      </c>
      <c r="R80" s="259">
        <v>0</v>
      </c>
      <c r="BJ80" s="257"/>
    </row>
    <row r="81" spans="1:62" x14ac:dyDescent="0.25">
      <c r="A81" s="118">
        <v>1079</v>
      </c>
      <c r="B81" s="11" t="b">
        <v>1</v>
      </c>
      <c r="C81" s="11" t="b">
        <v>1</v>
      </c>
      <c r="D81" s="1" t="s">
        <v>768</v>
      </c>
      <c r="E81" s="5">
        <v>1</v>
      </c>
      <c r="F81" s="5">
        <v>1</v>
      </c>
      <c r="G81" s="21" t="s">
        <v>218</v>
      </c>
      <c r="H81" s="20" t="s">
        <v>105</v>
      </c>
      <c r="I81" s="5">
        <f t="shared" si="18"/>
        <v>0</v>
      </c>
      <c r="J81" s="5" t="s">
        <v>105</v>
      </c>
      <c r="K81" s="21">
        <f t="shared" si="33"/>
        <v>10</v>
      </c>
      <c r="L81" s="21">
        <f t="shared" si="34"/>
        <v>0.5</v>
      </c>
      <c r="M81" s="21" t="s">
        <v>105</v>
      </c>
      <c r="N81" s="6">
        <v>60</v>
      </c>
      <c r="O81" s="258" t="s">
        <v>109</v>
      </c>
      <c r="P81" s="259">
        <v>0</v>
      </c>
      <c r="Q81" s="259">
        <v>0.3</v>
      </c>
      <c r="R81" s="259">
        <v>0</v>
      </c>
      <c r="BJ81" s="257"/>
    </row>
    <row r="82" spans="1:62" x14ac:dyDescent="0.25">
      <c r="A82" s="118">
        <v>1080</v>
      </c>
      <c r="B82" s="11" t="b">
        <v>1</v>
      </c>
      <c r="C82" s="11" t="b">
        <v>1</v>
      </c>
      <c r="D82" s="1" t="s">
        <v>769</v>
      </c>
      <c r="E82" s="5">
        <v>1</v>
      </c>
      <c r="F82" s="5">
        <v>1</v>
      </c>
      <c r="G82" s="21" t="s">
        <v>218</v>
      </c>
      <c r="H82" s="20" t="s">
        <v>105</v>
      </c>
      <c r="I82" s="5">
        <f t="shared" si="18"/>
        <v>0</v>
      </c>
      <c r="J82" s="5" t="s">
        <v>105</v>
      </c>
      <c r="K82" s="21">
        <f t="shared" si="33"/>
        <v>10</v>
      </c>
      <c r="L82" s="21">
        <f t="shared" si="34"/>
        <v>0.5</v>
      </c>
      <c r="M82" s="21" t="s">
        <v>105</v>
      </c>
      <c r="N82" s="6">
        <v>60</v>
      </c>
      <c r="O82" s="258" t="s">
        <v>109</v>
      </c>
      <c r="P82" s="259">
        <v>0</v>
      </c>
      <c r="Q82" s="259">
        <v>0.4</v>
      </c>
      <c r="R82" s="259">
        <v>0</v>
      </c>
      <c r="BJ82" s="257"/>
    </row>
    <row r="83" spans="1:62" x14ac:dyDescent="0.25">
      <c r="A83" s="118">
        <v>1081</v>
      </c>
      <c r="B83" s="11" t="b">
        <v>1</v>
      </c>
      <c r="C83" s="11" t="b">
        <v>1</v>
      </c>
      <c r="D83" s="1" t="s">
        <v>770</v>
      </c>
      <c r="E83" s="5">
        <v>1</v>
      </c>
      <c r="F83" s="5">
        <v>1</v>
      </c>
      <c r="G83" s="21" t="s">
        <v>218</v>
      </c>
      <c r="H83" s="20" t="s">
        <v>105</v>
      </c>
      <c r="I83" s="5">
        <f t="shared" si="18"/>
        <v>0</v>
      </c>
      <c r="J83" s="5" t="s">
        <v>105</v>
      </c>
      <c r="K83" s="21">
        <f t="shared" si="33"/>
        <v>10</v>
      </c>
      <c r="L83" s="21">
        <f t="shared" si="34"/>
        <v>0.5</v>
      </c>
      <c r="M83" s="21" t="s">
        <v>105</v>
      </c>
      <c r="N83" s="6">
        <v>60</v>
      </c>
      <c r="O83" s="258" t="s">
        <v>109</v>
      </c>
      <c r="P83" s="259">
        <v>0</v>
      </c>
      <c r="Q83" s="259">
        <v>0.5</v>
      </c>
      <c r="R83" s="259">
        <v>0</v>
      </c>
      <c r="BJ83" s="257"/>
    </row>
    <row r="84" spans="1:62" x14ac:dyDescent="0.25">
      <c r="A84" s="118">
        <v>1082</v>
      </c>
      <c r="B84" s="11" t="b">
        <v>1</v>
      </c>
      <c r="C84" s="11" t="b">
        <v>1</v>
      </c>
      <c r="D84" s="1" t="s">
        <v>771</v>
      </c>
      <c r="E84" s="5">
        <f t="shared" ref="E84:E88" si="35">inp_Uc/inp_Un</f>
        <v>0.02</v>
      </c>
      <c r="F84" s="5">
        <v>1</v>
      </c>
      <c r="G84" s="21" t="s">
        <v>218</v>
      </c>
      <c r="H84" s="20" t="s">
        <v>105</v>
      </c>
      <c r="I84" s="5">
        <f t="shared" si="18"/>
        <v>0</v>
      </c>
      <c r="J84" s="5" t="s">
        <v>105</v>
      </c>
      <c r="K84" s="21">
        <f t="shared" si="33"/>
        <v>10</v>
      </c>
      <c r="L84" s="21">
        <f t="shared" si="34"/>
        <v>0.5</v>
      </c>
      <c r="M84" s="21" t="s">
        <v>105</v>
      </c>
      <c r="N84" s="6">
        <v>60</v>
      </c>
      <c r="O84" s="258" t="s">
        <v>115</v>
      </c>
      <c r="P84" s="259">
        <v>0</v>
      </c>
      <c r="Q84" s="260">
        <v>0.8</v>
      </c>
      <c r="R84" s="259">
        <v>60</v>
      </c>
      <c r="BJ84" s="257"/>
    </row>
    <row r="85" spans="1:62" x14ac:dyDescent="0.25">
      <c r="A85" s="118">
        <v>1083</v>
      </c>
      <c r="B85" s="11" t="b">
        <v>1</v>
      </c>
      <c r="C85" s="11" t="b">
        <v>1</v>
      </c>
      <c r="D85" s="1" t="s">
        <v>772</v>
      </c>
      <c r="E85" s="5">
        <f t="shared" si="35"/>
        <v>0.02</v>
      </c>
      <c r="F85" s="5">
        <v>1</v>
      </c>
      <c r="G85" s="21" t="s">
        <v>218</v>
      </c>
      <c r="H85" s="20" t="s">
        <v>105</v>
      </c>
      <c r="I85" s="5">
        <f t="shared" si="18"/>
        <v>0</v>
      </c>
      <c r="J85" s="5" t="s">
        <v>105</v>
      </c>
      <c r="K85" s="21">
        <f t="shared" si="33"/>
        <v>10</v>
      </c>
      <c r="L85" s="21">
        <f t="shared" si="34"/>
        <v>0.5</v>
      </c>
      <c r="M85" s="21" t="s">
        <v>105</v>
      </c>
      <c r="N85" s="6">
        <v>60</v>
      </c>
      <c r="O85" s="258" t="s">
        <v>115</v>
      </c>
      <c r="P85" s="259">
        <v>0</v>
      </c>
      <c r="Q85" s="260">
        <v>0.6</v>
      </c>
      <c r="R85" s="259">
        <v>60</v>
      </c>
      <c r="BJ85" s="257"/>
    </row>
    <row r="86" spans="1:62" x14ac:dyDescent="0.25">
      <c r="A86" s="118">
        <v>1084</v>
      </c>
      <c r="B86" s="11" t="b">
        <v>1</v>
      </c>
      <c r="C86" s="11" t="b">
        <v>1</v>
      </c>
      <c r="D86" s="1" t="s">
        <v>773</v>
      </c>
      <c r="E86" s="5">
        <f t="shared" si="35"/>
        <v>0.02</v>
      </c>
      <c r="F86" s="5">
        <v>1</v>
      </c>
      <c r="G86" s="21" t="s">
        <v>218</v>
      </c>
      <c r="H86" s="20" t="s">
        <v>105</v>
      </c>
      <c r="I86" s="5">
        <f t="shared" si="18"/>
        <v>0</v>
      </c>
      <c r="J86" s="5" t="s">
        <v>105</v>
      </c>
      <c r="K86" s="21">
        <f t="shared" si="33"/>
        <v>10</v>
      </c>
      <c r="L86" s="21">
        <f t="shared" si="34"/>
        <v>0.5</v>
      </c>
      <c r="M86" s="21" t="s">
        <v>105</v>
      </c>
      <c r="N86" s="6">
        <v>60</v>
      </c>
      <c r="O86" s="258" t="s">
        <v>115</v>
      </c>
      <c r="P86" s="259">
        <v>0</v>
      </c>
      <c r="Q86" s="260">
        <v>0.4</v>
      </c>
      <c r="R86" s="259">
        <v>60</v>
      </c>
      <c r="BJ86" s="257"/>
    </row>
    <row r="87" spans="1:62" x14ac:dyDescent="0.25">
      <c r="A87" s="118">
        <v>1085</v>
      </c>
      <c r="B87" s="11" t="b">
        <v>1</v>
      </c>
      <c r="C87" s="11" t="b">
        <v>1</v>
      </c>
      <c r="D87" s="1" t="s">
        <v>774</v>
      </c>
      <c r="E87" s="5">
        <f t="shared" si="35"/>
        <v>0.02</v>
      </c>
      <c r="F87" s="5">
        <v>1</v>
      </c>
      <c r="G87" s="21" t="s">
        <v>218</v>
      </c>
      <c r="H87" s="20" t="s">
        <v>105</v>
      </c>
      <c r="I87" s="5">
        <f t="shared" si="18"/>
        <v>0</v>
      </c>
      <c r="J87" s="5" t="s">
        <v>105</v>
      </c>
      <c r="K87" s="21">
        <f t="shared" si="33"/>
        <v>10</v>
      </c>
      <c r="L87" s="21">
        <f t="shared" si="34"/>
        <v>0.5</v>
      </c>
      <c r="M87" s="21" t="s">
        <v>105</v>
      </c>
      <c r="N87" s="6">
        <v>60</v>
      </c>
      <c r="O87" s="258" t="s">
        <v>115</v>
      </c>
      <c r="P87" s="259">
        <v>0</v>
      </c>
      <c r="Q87" s="260">
        <v>0.2</v>
      </c>
      <c r="R87" s="259">
        <v>60</v>
      </c>
      <c r="BJ87" s="257"/>
    </row>
    <row r="88" spans="1:62" x14ac:dyDescent="0.25">
      <c r="A88" s="118">
        <v>1086</v>
      </c>
      <c r="B88" s="11" t="b">
        <v>1</v>
      </c>
      <c r="C88" s="11" t="b">
        <v>1</v>
      </c>
      <c r="D88" s="1" t="s">
        <v>775</v>
      </c>
      <c r="E88" s="5">
        <f t="shared" si="35"/>
        <v>0.02</v>
      </c>
      <c r="F88" s="5">
        <v>1</v>
      </c>
      <c r="G88" s="21" t="s">
        <v>218</v>
      </c>
      <c r="H88" s="20" t="s">
        <v>105</v>
      </c>
      <c r="I88" s="5">
        <f t="shared" si="18"/>
        <v>0</v>
      </c>
      <c r="J88" s="5" t="s">
        <v>105</v>
      </c>
      <c r="K88" s="21">
        <f>inp_scr_max</f>
        <v>30</v>
      </c>
      <c r="L88" s="21">
        <f t="shared" si="34"/>
        <v>0.5</v>
      </c>
      <c r="M88" s="21" t="s">
        <v>105</v>
      </c>
      <c r="N88" s="6">
        <v>60</v>
      </c>
      <c r="O88" s="258" t="s">
        <v>117</v>
      </c>
      <c r="P88" s="259">
        <v>0</v>
      </c>
      <c r="Q88" s="260">
        <v>0.05</v>
      </c>
      <c r="R88" s="259">
        <v>60</v>
      </c>
      <c r="BJ88" s="257"/>
    </row>
    <row r="89" spans="1:62" x14ac:dyDescent="0.25">
      <c r="BJ89" s="68"/>
    </row>
    <row r="90" spans="1:62" x14ac:dyDescent="0.25">
      <c r="BJ90" s="68"/>
    </row>
    <row r="91" spans="1:62" x14ac:dyDescent="0.25">
      <c r="BJ91" s="68"/>
    </row>
    <row r="92" spans="1:62" x14ac:dyDescent="0.25">
      <c r="BJ92" s="68"/>
    </row>
    <row r="93" spans="1:62" x14ac:dyDescent="0.25">
      <c r="BJ93" s="68"/>
    </row>
    <row r="94" spans="1:62" x14ac:dyDescent="0.25">
      <c r="BJ94" s="68"/>
    </row>
    <row r="95" spans="1:62" x14ac:dyDescent="0.25">
      <c r="BJ95" s="68"/>
    </row>
    <row r="96" spans="1:62" x14ac:dyDescent="0.25">
      <c r="BJ96" s="68"/>
    </row>
    <row r="97" spans="62:62" x14ac:dyDescent="0.25">
      <c r="BJ97" s="68"/>
    </row>
    <row r="98" spans="62:62" x14ac:dyDescent="0.25">
      <c r="BJ98" s="68"/>
    </row>
    <row r="99" spans="62:62" x14ac:dyDescent="0.25">
      <c r="BJ99" s="68"/>
    </row>
    <row r="100" spans="62:62" x14ac:dyDescent="0.25">
      <c r="BJ100" s="68"/>
    </row>
    <row r="101" spans="62:62" x14ac:dyDescent="0.25">
      <c r="BJ101" s="68"/>
    </row>
    <row r="102" spans="62:62" x14ac:dyDescent="0.25">
      <c r="BJ102" s="68"/>
    </row>
    <row r="103" spans="62:62" x14ac:dyDescent="0.25">
      <c r="BJ103" s="68"/>
    </row>
    <row r="104" spans="62:62" x14ac:dyDescent="0.25">
      <c r="BJ104" s="68"/>
    </row>
    <row r="105" spans="62:62" x14ac:dyDescent="0.25">
      <c r="BJ105" s="68"/>
    </row>
    <row r="106" spans="62:62" x14ac:dyDescent="0.25">
      <c r="BJ106" s="68"/>
    </row>
    <row r="107" spans="62:62" x14ac:dyDescent="0.25">
      <c r="BJ107" s="68"/>
    </row>
    <row r="108" spans="62:62" x14ac:dyDescent="0.25">
      <c r="BJ108" s="68"/>
    </row>
    <row r="109" spans="62:62" x14ac:dyDescent="0.25">
      <c r="BJ109" s="68"/>
    </row>
    <row r="110" spans="62:62" x14ac:dyDescent="0.25">
      <c r="BJ110" s="68"/>
    </row>
    <row r="111" spans="62:62" x14ac:dyDescent="0.25">
      <c r="BJ111" s="68"/>
    </row>
    <row r="112" spans="62:62" x14ac:dyDescent="0.25">
      <c r="BJ112" s="68"/>
    </row>
    <row r="113" spans="62:62" x14ac:dyDescent="0.25">
      <c r="BJ113" s="68"/>
    </row>
    <row r="114" spans="62:62" x14ac:dyDescent="0.25">
      <c r="BJ114" s="68"/>
    </row>
    <row r="115" spans="62:62" x14ac:dyDescent="0.25">
      <c r="BJ115" s="68"/>
    </row>
    <row r="116" spans="62:62" x14ac:dyDescent="0.25">
      <c r="BJ116" s="68"/>
    </row>
    <row r="117" spans="62:62" x14ac:dyDescent="0.25">
      <c r="BJ117" s="68"/>
    </row>
    <row r="118" spans="62:62" x14ac:dyDescent="0.25">
      <c r="BJ118" s="68"/>
    </row>
    <row r="119" spans="62:62" x14ac:dyDescent="0.25">
      <c r="BJ119" s="68"/>
    </row>
    <row r="120" spans="62:62" x14ac:dyDescent="0.25">
      <c r="BJ120" s="68"/>
    </row>
    <row r="121" spans="62:62" x14ac:dyDescent="0.25">
      <c r="BJ121" s="68"/>
    </row>
    <row r="122" spans="62:62" x14ac:dyDescent="0.25">
      <c r="BJ122" s="68"/>
    </row>
    <row r="123" spans="62:62" x14ac:dyDescent="0.25">
      <c r="BJ123" s="68"/>
    </row>
    <row r="124" spans="62:62" x14ac:dyDescent="0.25">
      <c r="BJ124" s="68"/>
    </row>
    <row r="125" spans="62:62" x14ac:dyDescent="0.25">
      <c r="BJ125" s="68"/>
    </row>
    <row r="126" spans="62:62" x14ac:dyDescent="0.25">
      <c r="BJ126" s="68"/>
    </row>
    <row r="127" spans="62:62" x14ac:dyDescent="0.25">
      <c r="BJ127" s="68"/>
    </row>
    <row r="128" spans="62:62" x14ac:dyDescent="0.25">
      <c r="BJ128" s="68"/>
    </row>
    <row r="129" spans="62:62" x14ac:dyDescent="0.25">
      <c r="BJ129" s="68"/>
    </row>
    <row r="130" spans="62:62" x14ac:dyDescent="0.25">
      <c r="BJ130" s="68"/>
    </row>
    <row r="131" spans="62:62" x14ac:dyDescent="0.25">
      <c r="BJ131" s="68"/>
    </row>
    <row r="132" spans="62:62" x14ac:dyDescent="0.25">
      <c r="BJ132" s="68"/>
    </row>
    <row r="133" spans="62:62" x14ac:dyDescent="0.25">
      <c r="BJ133" s="68"/>
    </row>
    <row r="134" spans="62:62" x14ac:dyDescent="0.25">
      <c r="BJ134" s="68"/>
    </row>
    <row r="135" spans="62:62" x14ac:dyDescent="0.25">
      <c r="BJ135" s="68"/>
    </row>
    <row r="136" spans="62:62" x14ac:dyDescent="0.25">
      <c r="BJ136" s="68"/>
    </row>
    <row r="137" spans="62:62" x14ac:dyDescent="0.25">
      <c r="BJ137" s="68"/>
    </row>
    <row r="138" spans="62:62" x14ac:dyDescent="0.25">
      <c r="BJ138" s="68"/>
    </row>
    <row r="139" spans="62:62" x14ac:dyDescent="0.25">
      <c r="BJ139" s="68"/>
    </row>
    <row r="140" spans="62:62" x14ac:dyDescent="0.25">
      <c r="BJ140" s="68"/>
    </row>
    <row r="141" spans="62:62" x14ac:dyDescent="0.25">
      <c r="BJ141" s="68"/>
    </row>
    <row r="142" spans="62:62" x14ac:dyDescent="0.25">
      <c r="BJ142" s="68"/>
    </row>
    <row r="143" spans="62:62" x14ac:dyDescent="0.25">
      <c r="BJ143" s="68"/>
    </row>
    <row r="144" spans="62:62" x14ac:dyDescent="0.25">
      <c r="BJ144" s="68"/>
    </row>
    <row r="145" spans="62:62" x14ac:dyDescent="0.25">
      <c r="BJ145" s="68"/>
    </row>
    <row r="146" spans="62:62" x14ac:dyDescent="0.25">
      <c r="BJ146" s="68"/>
    </row>
    <row r="147" spans="62:62" x14ac:dyDescent="0.25">
      <c r="BJ147" s="68"/>
    </row>
    <row r="148" spans="62:62" x14ac:dyDescent="0.25">
      <c r="BJ148" s="68"/>
    </row>
    <row r="149" spans="62:62" x14ac:dyDescent="0.25">
      <c r="BJ149" s="68"/>
    </row>
    <row r="150" spans="62:62" x14ac:dyDescent="0.25">
      <c r="BJ150" s="68"/>
    </row>
    <row r="151" spans="62:62" x14ac:dyDescent="0.25">
      <c r="BJ151" s="68"/>
    </row>
    <row r="152" spans="62:62" x14ac:dyDescent="0.25">
      <c r="BJ152" s="68"/>
    </row>
    <row r="153" spans="62:62" x14ac:dyDescent="0.25">
      <c r="BJ153" s="68"/>
    </row>
    <row r="154" spans="62:62" x14ac:dyDescent="0.25">
      <c r="BJ154" s="68"/>
    </row>
    <row r="155" spans="62:62" x14ac:dyDescent="0.25">
      <c r="BJ155" s="68"/>
    </row>
    <row r="156" spans="62:62" x14ac:dyDescent="0.25">
      <c r="BJ156" s="68"/>
    </row>
    <row r="157" spans="62:62" x14ac:dyDescent="0.25">
      <c r="BJ157" s="68"/>
    </row>
    <row r="158" spans="62:62" x14ac:dyDescent="0.25">
      <c r="BJ158" s="68"/>
    </row>
    <row r="159" spans="62:62" x14ac:dyDescent="0.25">
      <c r="BJ159" s="68"/>
    </row>
    <row r="160" spans="62:62" x14ac:dyDescent="0.25">
      <c r="BJ160" s="68"/>
    </row>
    <row r="161" spans="62:62" x14ac:dyDescent="0.25">
      <c r="BJ161" s="68"/>
    </row>
    <row r="162" spans="62:62" x14ac:dyDescent="0.25">
      <c r="BJ162" s="68"/>
    </row>
    <row r="163" spans="62:62" x14ac:dyDescent="0.25">
      <c r="BJ163" s="68"/>
    </row>
    <row r="164" spans="62:62" x14ac:dyDescent="0.25">
      <c r="BJ164" s="68"/>
    </row>
    <row r="165" spans="62:62" x14ac:dyDescent="0.25">
      <c r="BJ165" s="68"/>
    </row>
    <row r="166" spans="62:62" x14ac:dyDescent="0.25">
      <c r="BJ166" s="68"/>
    </row>
    <row r="167" spans="62:62" x14ac:dyDescent="0.25">
      <c r="BJ167" s="68"/>
    </row>
    <row r="168" spans="62:62" x14ac:dyDescent="0.25">
      <c r="BJ168" s="68"/>
    </row>
    <row r="169" spans="62:62" x14ac:dyDescent="0.25">
      <c r="BJ169" s="68"/>
    </row>
    <row r="170" spans="62:62" x14ac:dyDescent="0.25">
      <c r="BJ170" s="68"/>
    </row>
    <row r="171" spans="62:62" x14ac:dyDescent="0.25">
      <c r="BJ171" s="68"/>
    </row>
    <row r="172" spans="62:62" x14ac:dyDescent="0.25">
      <c r="BJ172" s="68"/>
    </row>
    <row r="173" spans="62:62" x14ac:dyDescent="0.25">
      <c r="BJ173" s="68"/>
    </row>
    <row r="174" spans="62:62" x14ac:dyDescent="0.25">
      <c r="BJ174" s="68"/>
    </row>
    <row r="175" spans="62:62" x14ac:dyDescent="0.25">
      <c r="BJ175" s="68"/>
    </row>
    <row r="176" spans="62:62" x14ac:dyDescent="0.25">
      <c r="BJ176" s="68"/>
    </row>
    <row r="177" spans="62:62" x14ac:dyDescent="0.25">
      <c r="BJ177" s="68"/>
    </row>
    <row r="178" spans="62:62" x14ac:dyDescent="0.25">
      <c r="BJ178" s="68"/>
    </row>
    <row r="179" spans="62:62" x14ac:dyDescent="0.25">
      <c r="BJ179" s="68"/>
    </row>
    <row r="180" spans="62:62" x14ac:dyDescent="0.25">
      <c r="BJ180" s="68"/>
    </row>
  </sheetData>
  <autoFilter ref="A2:BJ2" xr:uid="{00000000-0009-0000-0000-000003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G89:G1048576</xm:sqref>
        </x14:dataValidation>
        <x14:dataValidation type="list" allowBlank="1" showInputMessage="1" showErrorMessage="1" xr:uid="{00000000-0002-0000-0300-000001000000}">
          <x14:formula1>
            <xm:f>datavalidation!$B$1:$B$8</xm:f>
          </x14:formula1>
          <xm:sqref>H89:H1048576 H37:H44</xm:sqref>
        </x14:dataValidation>
        <x14:dataValidation type="list" allowBlank="1" showInputMessage="1" showErrorMessage="1" xr:uid="{00000000-0002-0000-0300-000002000000}">
          <x14:formula1>
            <xm:f>'Event types'!$A$2:$A$949</xm:f>
          </x14:formula1>
          <xm:sqref>O89:O1048576 AA45:AA46 S45:S46 W45:W46 AE45:AE46</xm:sqref>
        </x14:dataValidation>
        <x14:dataValidation type="list" allowBlank="1" showInputMessage="1" showErrorMessage="1" xr:uid="{00000000-0002-0000-0300-000003000000}">
          <x14:formula1>
            <xm:f>'Event types'!$A$2:$A$102</xm:f>
          </x14:formula1>
          <xm:sqref>O37:O46</xm:sqref>
        </x14:dataValidation>
        <x14:dataValidation type="list" allowBlank="1" showInputMessage="1" showErrorMessage="1" xr:uid="{00000000-0002-0000-0300-000004000000}">
          <x14:formula1>
            <xm:f>datavalidation!$E$1:$E$2</xm:f>
          </x14:formula1>
          <xm:sqref>B3:C88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K79"/>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2.5703125" style="1" bestFit="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389" t="s">
        <v>492</v>
      </c>
      <c r="B1" s="389"/>
      <c r="C1" s="389"/>
      <c r="D1" s="389"/>
      <c r="E1" s="390" t="s">
        <v>493</v>
      </c>
      <c r="F1" s="391"/>
      <c r="G1" s="391"/>
      <c r="H1" s="391"/>
      <c r="I1" s="391"/>
      <c r="J1" s="391"/>
      <c r="K1" s="391"/>
      <c r="L1" s="391"/>
      <c r="M1" s="391"/>
      <c r="N1" s="391"/>
      <c r="O1" s="392"/>
      <c r="P1" s="399" t="s">
        <v>77</v>
      </c>
      <c r="Q1" s="399"/>
      <c r="R1" s="399"/>
      <c r="S1" s="399"/>
      <c r="T1" s="389" t="s">
        <v>78</v>
      </c>
      <c r="U1" s="389"/>
      <c r="V1" s="389"/>
      <c r="W1" s="389"/>
      <c r="X1" s="399" t="s">
        <v>79</v>
      </c>
      <c r="Y1" s="399"/>
      <c r="Z1" s="399"/>
      <c r="AA1" s="399"/>
      <c r="AB1" s="389" t="s">
        <v>80</v>
      </c>
      <c r="AC1" s="389"/>
      <c r="AD1" s="389"/>
      <c r="AE1" s="389"/>
      <c r="AF1" s="399" t="s">
        <v>81</v>
      </c>
      <c r="AG1" s="399"/>
      <c r="AH1" s="399"/>
      <c r="AI1" s="399"/>
      <c r="AJ1" s="389" t="s">
        <v>82</v>
      </c>
      <c r="AK1" s="389"/>
      <c r="AL1" s="389"/>
      <c r="AM1" s="389"/>
      <c r="AN1" s="399" t="s">
        <v>83</v>
      </c>
      <c r="AO1" s="399"/>
      <c r="AP1" s="399"/>
      <c r="AQ1" s="399"/>
      <c r="AR1" s="389" t="s">
        <v>84</v>
      </c>
      <c r="AS1" s="389"/>
      <c r="AT1" s="389"/>
      <c r="AU1" s="389"/>
      <c r="AV1" s="399" t="s">
        <v>85</v>
      </c>
      <c r="AW1" s="399"/>
      <c r="AX1" s="399"/>
      <c r="AY1" s="399"/>
      <c r="AZ1" s="389" t="s">
        <v>86</v>
      </c>
      <c r="BA1" s="389"/>
      <c r="BB1" s="389"/>
      <c r="BC1" s="389"/>
      <c r="BD1" s="399" t="s">
        <v>87</v>
      </c>
      <c r="BE1" s="399"/>
      <c r="BF1" s="399"/>
      <c r="BG1" s="399"/>
      <c r="BH1" s="389" t="s">
        <v>88</v>
      </c>
      <c r="BI1" s="389"/>
      <c r="BJ1" s="389"/>
      <c r="BK1" s="389"/>
    </row>
    <row r="2" spans="1:63" s="11" customFormat="1" ht="30" customHeight="1" x14ac:dyDescent="0.25">
      <c r="A2" s="9" t="s">
        <v>89</v>
      </c>
      <c r="B2" s="10" t="s">
        <v>90</v>
      </c>
      <c r="C2" s="10" t="s">
        <v>91</v>
      </c>
      <c r="D2" s="11" t="s">
        <v>92</v>
      </c>
      <c r="E2" s="12" t="s">
        <v>93</v>
      </c>
      <c r="F2" s="12" t="s">
        <v>94</v>
      </c>
      <c r="G2" s="12" t="s">
        <v>551</v>
      </c>
      <c r="H2" s="12" t="s">
        <v>225</v>
      </c>
      <c r="I2" s="12" t="s">
        <v>96</v>
      </c>
      <c r="J2" s="12" t="s">
        <v>97</v>
      </c>
      <c r="K2" s="12" t="s">
        <v>547</v>
      </c>
      <c r="L2" s="12" t="s">
        <v>98</v>
      </c>
      <c r="M2" s="12" t="s">
        <v>99</v>
      </c>
      <c r="N2" s="12" t="s">
        <v>731</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2001</v>
      </c>
      <c r="B3" s="11" t="b">
        <v>1</v>
      </c>
      <c r="C3" s="117" t="b">
        <v>1</v>
      </c>
      <c r="D3" s="119" t="s">
        <v>270</v>
      </c>
      <c r="E3" s="119">
        <f t="shared" ref="E3:E57" si="0">inp_Uc/inp_Un</f>
        <v>0.02</v>
      </c>
      <c r="F3" s="119">
        <v>0</v>
      </c>
      <c r="G3" s="119" t="s">
        <v>105</v>
      </c>
      <c r="H3" s="119" t="s">
        <v>218</v>
      </c>
      <c r="I3" s="119" t="s">
        <v>105</v>
      </c>
      <c r="J3" s="119">
        <v>0</v>
      </c>
      <c r="K3" s="119" t="s">
        <v>105</v>
      </c>
      <c r="L3" s="119">
        <f t="shared" ref="L3:L9" si="1">inp_scr_min</f>
        <v>10</v>
      </c>
      <c r="M3" s="119">
        <f t="shared" ref="M3:M9" si="2">inp_xr_min</f>
        <v>0.5</v>
      </c>
      <c r="N3" s="119" t="s">
        <v>105</v>
      </c>
      <c r="O3" s="119">
        <v>60</v>
      </c>
      <c r="P3" s="261" t="s">
        <v>120</v>
      </c>
      <c r="Q3" s="261"/>
      <c r="R3" s="261"/>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25">
      <c r="A4" s="1">
        <v>2002</v>
      </c>
      <c r="B4" s="11" t="b">
        <v>1</v>
      </c>
      <c r="C4" s="117" t="b">
        <v>1</v>
      </c>
      <c r="D4" s="119" t="s">
        <v>271</v>
      </c>
      <c r="E4" s="119">
        <f t="shared" si="0"/>
        <v>0.02</v>
      </c>
      <c r="F4" s="119">
        <v>0.5</v>
      </c>
      <c r="G4" s="119" t="s">
        <v>105</v>
      </c>
      <c r="H4" s="119" t="s">
        <v>218</v>
      </c>
      <c r="I4" s="119" t="s">
        <v>105</v>
      </c>
      <c r="J4" s="119">
        <v>0.2</v>
      </c>
      <c r="K4" s="119" t="s">
        <v>105</v>
      </c>
      <c r="L4" s="119">
        <f t="shared" si="1"/>
        <v>10</v>
      </c>
      <c r="M4" s="119">
        <f t="shared" si="2"/>
        <v>0.5</v>
      </c>
      <c r="N4" s="119" t="s">
        <v>105</v>
      </c>
      <c r="O4" s="119">
        <v>60</v>
      </c>
      <c r="P4" s="261" t="s">
        <v>120</v>
      </c>
      <c r="Q4" s="261"/>
      <c r="R4" s="261"/>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25">
      <c r="A5" s="1">
        <v>2003</v>
      </c>
      <c r="B5" s="11" t="b">
        <v>1</v>
      </c>
      <c r="C5" s="117" t="b">
        <v>1</v>
      </c>
      <c r="D5" s="119" t="s">
        <v>272</v>
      </c>
      <c r="E5" s="119">
        <f t="shared" si="0"/>
        <v>0.02</v>
      </c>
      <c r="F5" s="119">
        <v>0.5</v>
      </c>
      <c r="G5" s="119" t="s">
        <v>105</v>
      </c>
      <c r="H5" s="119" t="s">
        <v>218</v>
      </c>
      <c r="I5" s="119" t="s">
        <v>105</v>
      </c>
      <c r="J5" s="119">
        <v>-0.2</v>
      </c>
      <c r="K5" s="119" t="s">
        <v>105</v>
      </c>
      <c r="L5" s="119">
        <f t="shared" si="1"/>
        <v>10</v>
      </c>
      <c r="M5" s="119">
        <f t="shared" si="2"/>
        <v>0.5</v>
      </c>
      <c r="N5" s="119" t="s">
        <v>105</v>
      </c>
      <c r="O5" s="119">
        <v>60</v>
      </c>
      <c r="P5" s="261" t="s">
        <v>120</v>
      </c>
      <c r="Q5" s="261"/>
      <c r="R5" s="261"/>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25">
      <c r="A6" s="1">
        <v>2004</v>
      </c>
      <c r="B6" s="11" t="b">
        <v>1</v>
      </c>
      <c r="C6" s="117" t="b">
        <v>1</v>
      </c>
      <c r="D6" s="119" t="s">
        <v>273</v>
      </c>
      <c r="E6" s="119">
        <f t="shared" si="0"/>
        <v>0.02</v>
      </c>
      <c r="F6" s="119">
        <v>1</v>
      </c>
      <c r="G6" s="119" t="s">
        <v>105</v>
      </c>
      <c r="H6" s="119" t="s">
        <v>218</v>
      </c>
      <c r="I6" s="119" t="s">
        <v>105</v>
      </c>
      <c r="J6" s="119">
        <v>0.33</v>
      </c>
      <c r="K6" s="119" t="s">
        <v>105</v>
      </c>
      <c r="L6" s="119">
        <f t="shared" si="1"/>
        <v>10</v>
      </c>
      <c r="M6" s="119">
        <f t="shared" si="2"/>
        <v>0.5</v>
      </c>
      <c r="N6" s="119" t="s">
        <v>105</v>
      </c>
      <c r="O6" s="119">
        <v>60</v>
      </c>
      <c r="P6" s="261" t="s">
        <v>120</v>
      </c>
      <c r="Q6" s="261"/>
      <c r="R6" s="261"/>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25">
      <c r="A7" s="1">
        <v>2005</v>
      </c>
      <c r="B7" s="11" t="b">
        <v>1</v>
      </c>
      <c r="C7" s="117" t="b">
        <v>1</v>
      </c>
      <c r="D7" s="119" t="s">
        <v>274</v>
      </c>
      <c r="E7" s="119">
        <f t="shared" si="0"/>
        <v>0.02</v>
      </c>
      <c r="F7" s="119">
        <v>1</v>
      </c>
      <c r="G7" s="119" t="s">
        <v>105</v>
      </c>
      <c r="H7" s="119" t="s">
        <v>218</v>
      </c>
      <c r="I7" s="119" t="s">
        <v>105</v>
      </c>
      <c r="J7" s="119">
        <v>-0.33</v>
      </c>
      <c r="K7" s="119" t="s">
        <v>105</v>
      </c>
      <c r="L7" s="119">
        <f t="shared" si="1"/>
        <v>10</v>
      </c>
      <c r="M7" s="119">
        <f t="shared" si="2"/>
        <v>0.5</v>
      </c>
      <c r="N7" s="119" t="s">
        <v>105</v>
      </c>
      <c r="O7" s="119">
        <v>60</v>
      </c>
      <c r="P7" s="261" t="s">
        <v>120</v>
      </c>
      <c r="Q7" s="261"/>
      <c r="R7" s="261"/>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25">
      <c r="A8" s="1">
        <v>2006</v>
      </c>
      <c r="B8" s="11" t="b">
        <v>1</v>
      </c>
      <c r="C8" s="117" t="b">
        <v>1</v>
      </c>
      <c r="D8" s="119" t="s">
        <v>275</v>
      </c>
      <c r="E8" s="119">
        <f t="shared" si="0"/>
        <v>0.02</v>
      </c>
      <c r="F8" s="119">
        <v>1</v>
      </c>
      <c r="G8" s="119" t="s">
        <v>105</v>
      </c>
      <c r="H8" s="119" t="s">
        <v>218</v>
      </c>
      <c r="I8" s="119" t="s">
        <v>105</v>
      </c>
      <c r="J8" s="119">
        <v>0</v>
      </c>
      <c r="K8" s="119" t="s">
        <v>105</v>
      </c>
      <c r="L8" s="119">
        <f t="shared" si="1"/>
        <v>10</v>
      </c>
      <c r="M8" s="119">
        <f t="shared" si="2"/>
        <v>0.5</v>
      </c>
      <c r="N8" s="119" t="s">
        <v>105</v>
      </c>
      <c r="O8" s="119">
        <v>60</v>
      </c>
      <c r="P8" s="261" t="s">
        <v>120</v>
      </c>
      <c r="Q8" s="261"/>
      <c r="R8" s="261"/>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25">
      <c r="A9" s="1">
        <v>2007</v>
      </c>
      <c r="B9" s="11" t="b">
        <v>1</v>
      </c>
      <c r="C9" s="117" t="b">
        <v>1</v>
      </c>
      <c r="D9" s="118" t="s">
        <v>276</v>
      </c>
      <c r="E9" s="24">
        <f t="shared" si="0"/>
        <v>0.02</v>
      </c>
      <c r="F9" s="24">
        <v>0.5</v>
      </c>
      <c r="G9" s="119" t="s">
        <v>105</v>
      </c>
      <c r="H9" s="119" t="s">
        <v>218</v>
      </c>
      <c r="I9" s="120" t="s">
        <v>105</v>
      </c>
      <c r="J9" s="24">
        <v>0</v>
      </c>
      <c r="K9" s="119" t="s">
        <v>105</v>
      </c>
      <c r="L9" s="119">
        <f t="shared" si="1"/>
        <v>10</v>
      </c>
      <c r="M9" s="119">
        <f t="shared" si="2"/>
        <v>0.5</v>
      </c>
      <c r="N9" s="119" t="s">
        <v>105</v>
      </c>
      <c r="O9" s="121">
        <v>20</v>
      </c>
      <c r="P9" s="261" t="s">
        <v>106</v>
      </c>
      <c r="Q9" s="261">
        <v>0</v>
      </c>
      <c r="R9" s="261">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25">
      <c r="A10" s="1">
        <v>2008</v>
      </c>
      <c r="B10" s="11" t="b">
        <v>1</v>
      </c>
      <c r="C10" s="117" t="b">
        <v>1</v>
      </c>
      <c r="D10" s="118" t="s">
        <v>277</v>
      </c>
      <c r="E10" s="24">
        <f t="shared" si="0"/>
        <v>0.02</v>
      </c>
      <c r="F10" s="24">
        <v>1</v>
      </c>
      <c r="G10" s="119" t="s">
        <v>105</v>
      </c>
      <c r="H10" s="119" t="s">
        <v>218</v>
      </c>
      <c r="I10" s="120" t="s">
        <v>105</v>
      </c>
      <c r="J10" s="24">
        <v>0</v>
      </c>
      <c r="K10" s="119" t="s">
        <v>105</v>
      </c>
      <c r="L10" s="119">
        <f>inp_scr_min</f>
        <v>10</v>
      </c>
      <c r="M10" s="119">
        <f>inp_xr_min</f>
        <v>0.5</v>
      </c>
      <c r="N10" s="119" t="s">
        <v>105</v>
      </c>
      <c r="O10" s="121">
        <v>20</v>
      </c>
      <c r="P10" s="261" t="s">
        <v>111</v>
      </c>
      <c r="Q10" s="261">
        <v>0</v>
      </c>
      <c r="R10" s="261">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25">
      <c r="A11" s="1">
        <v>2009</v>
      </c>
      <c r="B11" s="11" t="b">
        <v>1</v>
      </c>
      <c r="C11" s="11" t="b">
        <v>1</v>
      </c>
      <c r="D11" s="1" t="s">
        <v>278</v>
      </c>
      <c r="E11" s="5">
        <f t="shared" si="0"/>
        <v>0.02</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0.02</v>
      </c>
      <c r="W11" s="5"/>
      <c r="X11" s="17" t="s">
        <v>108</v>
      </c>
      <c r="Y11" s="17">
        <v>10</v>
      </c>
      <c r="Z11" s="17">
        <f>sel_uq_q0_umin</f>
        <v>0.96799999999999997</v>
      </c>
      <c r="AA11" s="17"/>
      <c r="AB11" s="5" t="s">
        <v>108</v>
      </c>
      <c r="AC11" s="5">
        <v>15</v>
      </c>
      <c r="AD11" s="5">
        <f>inp_Uc/inp_Un</f>
        <v>0.02</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25">
      <c r="A12" s="1">
        <v>2010</v>
      </c>
      <c r="B12" s="117" t="b">
        <v>1</v>
      </c>
      <c r="C12" s="117" t="b">
        <v>1</v>
      </c>
      <c r="D12" s="118" t="s">
        <v>776</v>
      </c>
      <c r="E12" s="24">
        <f>inp_Uc/inp_Un</f>
        <v>0.02</v>
      </c>
      <c r="F12" s="24">
        <v>1</v>
      </c>
      <c r="G12" s="21" t="s">
        <v>105</v>
      </c>
      <c r="H12" s="119" t="s">
        <v>218</v>
      </c>
      <c r="I12" s="120" t="s">
        <v>105</v>
      </c>
      <c r="J12" s="24">
        <f t="shared" ref="J12:J16" si="3">inp_Uc/inp_Un</f>
        <v>0.02</v>
      </c>
      <c r="K12" s="21" t="s">
        <v>105</v>
      </c>
      <c r="L12" s="119">
        <v>-1</v>
      </c>
      <c r="M12" s="119">
        <v>0</v>
      </c>
      <c r="N12" s="21" t="s">
        <v>105</v>
      </c>
      <c r="O12" s="121">
        <v>50</v>
      </c>
      <c r="P12" s="261" t="s">
        <v>108</v>
      </c>
      <c r="Q12" s="261">
        <v>0</v>
      </c>
      <c r="R12" s="261">
        <f>sel_uq_q0.33ue_umax</f>
        <v>1.1180000000000001</v>
      </c>
      <c r="S12" s="261"/>
      <c r="T12" s="24"/>
      <c r="U12" s="24"/>
      <c r="V12" s="24"/>
      <c r="W12" s="24"/>
      <c r="X12" s="261"/>
      <c r="Y12" s="261"/>
      <c r="Z12" s="261"/>
      <c r="AA12" s="261"/>
      <c r="AB12" s="24"/>
      <c r="AC12" s="24"/>
      <c r="AD12" s="24"/>
      <c r="AE12" s="24"/>
      <c r="AF12" s="262"/>
      <c r="AG12" s="261"/>
      <c r="AH12" s="261"/>
      <c r="AI12" s="261"/>
      <c r="AJ12" s="118"/>
      <c r="AK12" s="24"/>
      <c r="AL12" s="24"/>
      <c r="AM12" s="24"/>
      <c r="AN12" s="262"/>
      <c r="AO12" s="261"/>
      <c r="AP12" s="261"/>
      <c r="AQ12" s="261"/>
      <c r="AR12" s="118"/>
      <c r="AS12" s="24"/>
      <c r="AT12" s="24"/>
      <c r="AU12" s="24"/>
      <c r="AV12" s="262"/>
      <c r="AW12" s="261"/>
      <c r="AX12" s="261"/>
      <c r="AY12" s="261"/>
      <c r="AZ12" s="118"/>
      <c r="BA12" s="24"/>
      <c r="BB12" s="24"/>
      <c r="BC12" s="24"/>
      <c r="BD12" s="262"/>
      <c r="BE12" s="261"/>
      <c r="BF12" s="261"/>
      <c r="BG12" s="261"/>
      <c r="BH12" s="118"/>
      <c r="BI12" s="24"/>
      <c r="BJ12" s="24"/>
      <c r="BK12" s="24"/>
    </row>
    <row r="13" spans="1:63" x14ac:dyDescent="0.25">
      <c r="A13" s="1">
        <v>2011</v>
      </c>
      <c r="B13" s="117" t="b">
        <v>1</v>
      </c>
      <c r="C13" s="117" t="b">
        <v>1</v>
      </c>
      <c r="D13" s="118" t="s">
        <v>777</v>
      </c>
      <c r="E13" s="24">
        <f>sel_uq_q0.33ue_umax</f>
        <v>1.1180000000000001</v>
      </c>
      <c r="F13" s="24">
        <v>1</v>
      </c>
      <c r="G13" s="21" t="s">
        <v>105</v>
      </c>
      <c r="H13" s="119" t="s">
        <v>218</v>
      </c>
      <c r="I13" s="120" t="s">
        <v>105</v>
      </c>
      <c r="J13" s="24">
        <f t="shared" si="3"/>
        <v>0.02</v>
      </c>
      <c r="K13" s="21" t="s">
        <v>105</v>
      </c>
      <c r="L13" s="119">
        <v>-1</v>
      </c>
      <c r="M13" s="119">
        <v>0</v>
      </c>
      <c r="N13" s="21" t="s">
        <v>105</v>
      </c>
      <c r="O13" s="121">
        <v>50</v>
      </c>
      <c r="P13" s="261" t="s">
        <v>108</v>
      </c>
      <c r="Q13" s="261">
        <v>0</v>
      </c>
      <c r="R13" s="261">
        <f>sel_60min_umax</f>
        <v>1.1499999999999999</v>
      </c>
      <c r="S13" s="261"/>
      <c r="T13" s="24"/>
      <c r="U13" s="24"/>
      <c r="V13" s="24"/>
      <c r="W13" s="24"/>
      <c r="X13" s="261"/>
      <c r="Y13" s="261"/>
      <c r="Z13" s="261"/>
      <c r="AA13" s="261"/>
      <c r="AB13" s="24"/>
      <c r="AC13" s="24"/>
      <c r="AD13" s="24"/>
      <c r="AE13" s="24"/>
      <c r="AF13" s="262"/>
      <c r="AG13" s="261"/>
      <c r="AH13" s="261"/>
      <c r="AI13" s="261"/>
      <c r="AJ13" s="118"/>
      <c r="AK13" s="24"/>
      <c r="AL13" s="24"/>
      <c r="AM13" s="24"/>
      <c r="AN13" s="262"/>
      <c r="AO13" s="261"/>
      <c r="AP13" s="261"/>
      <c r="AQ13" s="261"/>
      <c r="AR13" s="118"/>
      <c r="AS13" s="24"/>
      <c r="AT13" s="24"/>
      <c r="AU13" s="24"/>
      <c r="AV13" s="262"/>
      <c r="AW13" s="261"/>
      <c r="AX13" s="261"/>
      <c r="AY13" s="261"/>
      <c r="AZ13" s="118"/>
      <c r="BA13" s="24"/>
      <c r="BB13" s="24"/>
      <c r="BC13" s="24"/>
      <c r="BD13" s="262"/>
      <c r="BE13" s="261"/>
      <c r="BF13" s="261"/>
      <c r="BG13" s="261"/>
      <c r="BH13" s="118"/>
      <c r="BI13" s="24"/>
      <c r="BJ13" s="24"/>
      <c r="BK13" s="24"/>
    </row>
    <row r="14" spans="1:63" x14ac:dyDescent="0.25">
      <c r="A14" s="1">
        <v>2012</v>
      </c>
      <c r="B14" s="117" t="b">
        <v>1</v>
      </c>
      <c r="C14" s="117" t="b">
        <v>1</v>
      </c>
      <c r="D14" s="118" t="s">
        <v>778</v>
      </c>
      <c r="E14" s="24">
        <f>inp_Uc/inp_Un</f>
        <v>0.02</v>
      </c>
      <c r="F14" s="24">
        <v>1</v>
      </c>
      <c r="G14" s="21" t="s">
        <v>105</v>
      </c>
      <c r="H14" s="119" t="s">
        <v>218</v>
      </c>
      <c r="I14" s="120" t="s">
        <v>105</v>
      </c>
      <c r="J14" s="24">
        <f t="shared" si="3"/>
        <v>0.02</v>
      </c>
      <c r="K14" s="21" t="s">
        <v>105</v>
      </c>
      <c r="L14" s="119">
        <v>-1</v>
      </c>
      <c r="M14" s="119">
        <v>0</v>
      </c>
      <c r="N14" s="21" t="s">
        <v>105</v>
      </c>
      <c r="O14" s="121">
        <v>50</v>
      </c>
      <c r="P14" s="261" t="s">
        <v>108</v>
      </c>
      <c r="Q14" s="261">
        <v>0</v>
      </c>
      <c r="R14" s="261">
        <f>E14-0.1</f>
        <v>-0.08</v>
      </c>
      <c r="S14" s="261"/>
      <c r="T14" s="24"/>
      <c r="U14" s="24"/>
      <c r="V14" s="24"/>
      <c r="W14" s="24"/>
      <c r="X14" s="261"/>
      <c r="Y14" s="261"/>
      <c r="Z14" s="261"/>
      <c r="AA14" s="261"/>
      <c r="AB14" s="24"/>
      <c r="AC14" s="24"/>
      <c r="AD14" s="24"/>
      <c r="AE14" s="24"/>
      <c r="AF14" s="262"/>
      <c r="AG14" s="261"/>
      <c r="AH14" s="261"/>
      <c r="AI14" s="261"/>
      <c r="AJ14" s="118"/>
      <c r="AK14" s="24"/>
      <c r="AL14" s="24"/>
      <c r="AM14" s="24"/>
      <c r="AN14" s="262"/>
      <c r="AO14" s="261"/>
      <c r="AP14" s="261"/>
      <c r="AQ14" s="261"/>
      <c r="AR14" s="118"/>
      <c r="AS14" s="24"/>
      <c r="AT14" s="24"/>
      <c r="AU14" s="24"/>
      <c r="AV14" s="262"/>
      <c r="AW14" s="261"/>
      <c r="AX14" s="261"/>
      <c r="AY14" s="261"/>
      <c r="AZ14" s="118"/>
      <c r="BA14" s="24"/>
      <c r="BB14" s="24"/>
      <c r="BC14" s="24"/>
      <c r="BD14" s="262"/>
      <c r="BE14" s="261"/>
      <c r="BF14" s="261"/>
      <c r="BG14" s="261"/>
      <c r="BH14" s="118"/>
      <c r="BI14" s="24"/>
      <c r="BJ14" s="24"/>
      <c r="BK14" s="24"/>
    </row>
    <row r="15" spans="1:63" x14ac:dyDescent="0.25">
      <c r="A15" s="1">
        <v>2013</v>
      </c>
      <c r="B15" s="117" t="b">
        <v>1</v>
      </c>
      <c r="C15" s="117" t="b">
        <v>1</v>
      </c>
      <c r="D15" s="118" t="s">
        <v>779</v>
      </c>
      <c r="E15" s="24">
        <v>1</v>
      </c>
      <c r="F15" s="24">
        <v>1</v>
      </c>
      <c r="G15" s="21" t="s">
        <v>105</v>
      </c>
      <c r="H15" s="119" t="s">
        <v>218</v>
      </c>
      <c r="I15" s="120" t="s">
        <v>105</v>
      </c>
      <c r="J15" s="24">
        <v>1</v>
      </c>
      <c r="K15" s="21" t="s">
        <v>105</v>
      </c>
      <c r="L15" s="119">
        <v>-1</v>
      </c>
      <c r="M15" s="119">
        <v>0</v>
      </c>
      <c r="N15" s="21" t="s">
        <v>105</v>
      </c>
      <c r="O15" s="121">
        <v>50</v>
      </c>
      <c r="P15" s="261" t="s">
        <v>108</v>
      </c>
      <c r="Q15" s="261">
        <v>0</v>
      </c>
      <c r="R15" s="261">
        <v>0.95</v>
      </c>
      <c r="S15" s="261"/>
      <c r="T15" s="24"/>
      <c r="U15" s="24"/>
      <c r="V15" s="24"/>
      <c r="W15" s="24"/>
      <c r="X15" s="261"/>
      <c r="Y15" s="261"/>
      <c r="Z15" s="261"/>
      <c r="AA15" s="261"/>
      <c r="AB15" s="24"/>
      <c r="AC15" s="24"/>
      <c r="AD15" s="24"/>
      <c r="AE15" s="24"/>
      <c r="AF15" s="262"/>
      <c r="AG15" s="261"/>
      <c r="AH15" s="261"/>
      <c r="AI15" s="261"/>
      <c r="AJ15" s="118"/>
      <c r="AK15" s="24"/>
      <c r="AL15" s="24"/>
      <c r="AM15" s="24"/>
      <c r="AN15" s="262"/>
      <c r="AO15" s="261"/>
      <c r="AP15" s="261"/>
      <c r="AQ15" s="261"/>
      <c r="AR15" s="118"/>
      <c r="AS15" s="24"/>
      <c r="AT15" s="24"/>
      <c r="AU15" s="24"/>
      <c r="AV15" s="262"/>
      <c r="AW15" s="261"/>
      <c r="AX15" s="261"/>
      <c r="AY15" s="261"/>
      <c r="AZ15" s="118"/>
      <c r="BA15" s="24"/>
      <c r="BB15" s="24"/>
      <c r="BC15" s="24"/>
      <c r="BD15" s="262"/>
      <c r="BE15" s="261"/>
      <c r="BF15" s="261"/>
      <c r="BG15" s="261"/>
      <c r="BH15" s="118"/>
      <c r="BI15" s="24"/>
      <c r="BJ15" s="24"/>
      <c r="BK15" s="24"/>
    </row>
    <row r="16" spans="1:63" x14ac:dyDescent="0.25">
      <c r="A16" s="1">
        <v>2014</v>
      </c>
      <c r="B16" s="117" t="b">
        <v>1</v>
      </c>
      <c r="C16" s="117" t="b">
        <v>1</v>
      </c>
      <c r="D16" s="118" t="s">
        <v>780</v>
      </c>
      <c r="E16" s="24">
        <v>0.95</v>
      </c>
      <c r="F16" s="24">
        <v>1</v>
      </c>
      <c r="G16" s="21" t="s">
        <v>105</v>
      </c>
      <c r="H16" s="119" t="s">
        <v>218</v>
      </c>
      <c r="I16" s="120" t="s">
        <v>105</v>
      </c>
      <c r="J16" s="24">
        <f t="shared" si="3"/>
        <v>0.02</v>
      </c>
      <c r="K16" s="21" t="s">
        <v>105</v>
      </c>
      <c r="L16" s="119">
        <v>-1</v>
      </c>
      <c r="M16" s="119">
        <v>0</v>
      </c>
      <c r="N16" s="21" t="s">
        <v>105</v>
      </c>
      <c r="O16" s="121">
        <v>50</v>
      </c>
      <c r="P16" s="261" t="s">
        <v>108</v>
      </c>
      <c r="Q16" s="261">
        <v>0</v>
      </c>
      <c r="R16" s="261">
        <v>0.9</v>
      </c>
      <c r="S16" s="261"/>
      <c r="T16" s="24"/>
      <c r="U16" s="24"/>
      <c r="V16" s="24"/>
      <c r="W16" s="24"/>
      <c r="X16" s="261"/>
      <c r="Y16" s="261"/>
      <c r="Z16" s="261"/>
      <c r="AA16" s="261"/>
      <c r="AB16" s="24"/>
      <c r="AC16" s="24"/>
      <c r="AD16" s="24"/>
      <c r="AE16" s="24"/>
      <c r="AF16" s="262"/>
      <c r="AG16" s="261"/>
      <c r="AH16" s="261"/>
      <c r="AI16" s="261"/>
      <c r="AJ16" s="118"/>
      <c r="AK16" s="24"/>
      <c r="AL16" s="24"/>
      <c r="AM16" s="24"/>
      <c r="AN16" s="262"/>
      <c r="AO16" s="261"/>
      <c r="AP16" s="261"/>
      <c r="AQ16" s="261"/>
      <c r="AR16" s="118"/>
      <c r="AS16" s="24"/>
      <c r="AT16" s="24"/>
      <c r="AU16" s="24"/>
      <c r="AV16" s="262"/>
      <c r="AW16" s="261"/>
      <c r="AX16" s="261"/>
      <c r="AY16" s="261"/>
      <c r="AZ16" s="118"/>
      <c r="BA16" s="24"/>
      <c r="BB16" s="24"/>
      <c r="BC16" s="24"/>
      <c r="BD16" s="262"/>
      <c r="BE16" s="261"/>
      <c r="BF16" s="261"/>
      <c r="BG16" s="261"/>
      <c r="BH16" s="118"/>
      <c r="BI16" s="24"/>
      <c r="BJ16" s="24"/>
      <c r="BK16" s="24"/>
    </row>
    <row r="17" spans="1:63" x14ac:dyDescent="0.25">
      <c r="A17" s="1">
        <v>2015</v>
      </c>
      <c r="B17" s="117" t="b">
        <v>1</v>
      </c>
      <c r="C17" s="117" t="b">
        <v>1</v>
      </c>
      <c r="D17" s="118" t="s">
        <v>781</v>
      </c>
      <c r="E17" s="24">
        <f t="shared" ref="E17:E59" si="4">inp_Uc/inp_Un</f>
        <v>0.02</v>
      </c>
      <c r="F17" s="24">
        <v>1</v>
      </c>
      <c r="G17" s="21" t="s">
        <v>105</v>
      </c>
      <c r="H17" s="119" t="s">
        <v>218</v>
      </c>
      <c r="I17" s="120" t="s">
        <v>105</v>
      </c>
      <c r="J17" s="24">
        <f t="shared" ref="J17:J59" si="5">inp_Uc/inp_Un</f>
        <v>0.02</v>
      </c>
      <c r="K17" s="21" t="s">
        <v>105</v>
      </c>
      <c r="L17" s="119">
        <f t="shared" ref="L17:L18" si="6">inp_scr_min</f>
        <v>10</v>
      </c>
      <c r="M17" s="119">
        <f t="shared" ref="M17:M18" si="7">inp_xr_min</f>
        <v>0.5</v>
      </c>
      <c r="N17" s="21" t="s">
        <v>105</v>
      </c>
      <c r="O17" s="121">
        <v>60</v>
      </c>
      <c r="P17" s="261" t="s">
        <v>109</v>
      </c>
      <c r="Q17" s="261">
        <v>0</v>
      </c>
      <c r="R17" s="261"/>
      <c r="S17" s="261">
        <v>5.0000000000000001E-3</v>
      </c>
      <c r="T17" s="118" t="s">
        <v>109</v>
      </c>
      <c r="U17" s="24">
        <f>Q17+0.05/S17</f>
        <v>10</v>
      </c>
      <c r="V17" s="24"/>
      <c r="W17" s="24">
        <v>0</v>
      </c>
      <c r="X17" s="262" t="s">
        <v>109</v>
      </c>
      <c r="Y17" s="261">
        <v>30</v>
      </c>
      <c r="Z17" s="261"/>
      <c r="AA17" s="261">
        <v>-5.0000000000000001E-3</v>
      </c>
      <c r="AB17" s="118" t="s">
        <v>109</v>
      </c>
      <c r="AC17" s="24">
        <v>40</v>
      </c>
      <c r="AD17" s="24"/>
      <c r="AE17" s="24">
        <v>0</v>
      </c>
      <c r="AF17" s="262"/>
      <c r="AG17" s="261"/>
      <c r="AH17" s="261"/>
      <c r="AI17" s="261"/>
      <c r="AJ17" s="118"/>
      <c r="AK17" s="24"/>
      <c r="AL17" s="24"/>
      <c r="AM17" s="24"/>
      <c r="AN17" s="262"/>
      <c r="AO17" s="261"/>
      <c r="AP17" s="261"/>
      <c r="AQ17" s="261"/>
      <c r="AR17" s="118"/>
      <c r="AS17" s="24"/>
      <c r="AT17" s="24"/>
      <c r="AU17" s="24"/>
      <c r="AV17" s="262"/>
      <c r="AW17" s="261"/>
      <c r="AX17" s="261"/>
      <c r="AY17" s="261"/>
      <c r="AZ17" s="118"/>
      <c r="BA17" s="24"/>
      <c r="BB17" s="24"/>
      <c r="BC17" s="24"/>
      <c r="BD17" s="262"/>
      <c r="BE17" s="261"/>
      <c r="BF17" s="261"/>
      <c r="BG17" s="261"/>
      <c r="BH17" s="118"/>
      <c r="BI17" s="24"/>
      <c r="BJ17" s="24"/>
      <c r="BK17" s="24"/>
    </row>
    <row r="18" spans="1:63" x14ac:dyDescent="0.25">
      <c r="A18" s="1">
        <v>2016</v>
      </c>
      <c r="B18" s="117" t="b">
        <v>1</v>
      </c>
      <c r="C18" s="117" t="b">
        <v>1</v>
      </c>
      <c r="D18" s="118" t="s">
        <v>782</v>
      </c>
      <c r="E18" s="24">
        <f t="shared" si="4"/>
        <v>0.02</v>
      </c>
      <c r="F18" s="24">
        <v>1</v>
      </c>
      <c r="G18" s="21" t="s">
        <v>105</v>
      </c>
      <c r="H18" s="119" t="s">
        <v>218</v>
      </c>
      <c r="I18" s="120" t="s">
        <v>105</v>
      </c>
      <c r="J18" s="24">
        <f t="shared" si="5"/>
        <v>0.02</v>
      </c>
      <c r="K18" s="21" t="s">
        <v>105</v>
      </c>
      <c r="L18" s="119">
        <f t="shared" si="6"/>
        <v>10</v>
      </c>
      <c r="M18" s="119">
        <f t="shared" si="7"/>
        <v>0.5</v>
      </c>
      <c r="N18" s="21" t="s">
        <v>105</v>
      </c>
      <c r="O18" s="121">
        <v>60</v>
      </c>
      <c r="P18" s="261" t="s">
        <v>109</v>
      </c>
      <c r="Q18" s="261">
        <v>0</v>
      </c>
      <c r="R18" s="261"/>
      <c r="S18" s="261">
        <v>-5.0000000000000001E-3</v>
      </c>
      <c r="T18" s="118" t="s">
        <v>109</v>
      </c>
      <c r="U18" s="24">
        <v>10</v>
      </c>
      <c r="V18" s="24"/>
      <c r="W18" s="24">
        <v>0</v>
      </c>
      <c r="X18" s="262" t="s">
        <v>109</v>
      </c>
      <c r="Y18" s="261">
        <v>30</v>
      </c>
      <c r="Z18" s="261"/>
      <c r="AA18" s="261">
        <v>5.0000000000000001E-3</v>
      </c>
      <c r="AB18" s="118" t="s">
        <v>109</v>
      </c>
      <c r="AC18" s="24">
        <v>40</v>
      </c>
      <c r="AD18" s="24"/>
      <c r="AE18" s="24">
        <v>0</v>
      </c>
      <c r="AF18" s="263"/>
      <c r="AG18" s="264"/>
      <c r="AH18" s="264"/>
      <c r="AI18" s="264"/>
      <c r="AJ18" s="118"/>
      <c r="AK18" s="24"/>
      <c r="AL18" s="24"/>
      <c r="AM18" s="24"/>
      <c r="AN18" s="262"/>
      <c r="AO18" s="261"/>
      <c r="AP18" s="261"/>
      <c r="AQ18" s="261"/>
      <c r="AR18" s="118"/>
      <c r="AS18" s="24"/>
      <c r="AT18" s="24"/>
      <c r="AU18" s="24"/>
      <c r="AV18" s="262"/>
      <c r="AW18" s="261"/>
      <c r="AX18" s="261"/>
      <c r="AY18" s="261"/>
      <c r="AZ18" s="118"/>
      <c r="BA18" s="24"/>
      <c r="BB18" s="24"/>
      <c r="BC18" s="24"/>
      <c r="BD18" s="262"/>
      <c r="BE18" s="261"/>
      <c r="BF18" s="261"/>
      <c r="BG18" s="261"/>
      <c r="BH18" s="118"/>
      <c r="BI18" s="24"/>
      <c r="BJ18" s="24"/>
      <c r="BK18" s="24"/>
    </row>
    <row r="19" spans="1:63" x14ac:dyDescent="0.25">
      <c r="A19" s="1">
        <v>2017</v>
      </c>
      <c r="B19" s="11" t="b">
        <v>1</v>
      </c>
      <c r="C19" s="11" t="b">
        <v>1</v>
      </c>
      <c r="D19" s="1" t="s">
        <v>279</v>
      </c>
      <c r="E19" s="5">
        <f t="shared" si="0"/>
        <v>0.02</v>
      </c>
      <c r="F19" s="24">
        <v>0.7</v>
      </c>
      <c r="G19" s="21" t="s">
        <v>105</v>
      </c>
      <c r="H19" s="21" t="s">
        <v>218</v>
      </c>
      <c r="I19" s="20" t="s">
        <v>105</v>
      </c>
      <c r="J19" s="24">
        <v>0</v>
      </c>
      <c r="K19" s="21" t="s">
        <v>105</v>
      </c>
      <c r="L19" s="21">
        <f t="shared" ref="L19" si="8">inp_scr_min</f>
        <v>10</v>
      </c>
      <c r="M19" s="21">
        <f t="shared" ref="M19" si="9">inp_xr_min</f>
        <v>0.5</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25">
      <c r="A20" s="1">
        <v>2018</v>
      </c>
      <c r="B20" s="11" t="b">
        <v>1</v>
      </c>
      <c r="C20" s="11" t="b">
        <v>1</v>
      </c>
      <c r="D20" s="1" t="s">
        <v>280</v>
      </c>
      <c r="E20" s="5">
        <f t="shared" si="0"/>
        <v>0.02</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25">
      <c r="A21" s="1">
        <v>2019</v>
      </c>
      <c r="B21" s="11" t="b">
        <v>1</v>
      </c>
      <c r="C21" s="11" t="b">
        <v>1</v>
      </c>
      <c r="D21" s="1" t="s">
        <v>281</v>
      </c>
      <c r="E21" s="5">
        <f t="shared" si="0"/>
        <v>0.02</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25">
      <c r="A22" s="1">
        <v>2020</v>
      </c>
      <c r="B22" s="11" t="b">
        <v>1</v>
      </c>
      <c r="C22" s="11" t="b">
        <v>1</v>
      </c>
      <c r="D22" s="1" t="s">
        <v>282</v>
      </c>
      <c r="E22" s="5">
        <f t="shared" si="0"/>
        <v>0.02</v>
      </c>
      <c r="F22" s="24">
        <v>1</v>
      </c>
      <c r="G22" s="21" t="s">
        <v>105</v>
      </c>
      <c r="H22" s="21" t="s">
        <v>218</v>
      </c>
      <c r="I22" s="20" t="s">
        <v>105</v>
      </c>
      <c r="J22" s="24">
        <v>0</v>
      </c>
      <c r="K22" s="21" t="s">
        <v>105</v>
      </c>
      <c r="L22" s="21">
        <f t="shared" ref="L22:L37" si="10">inp_scr_min</f>
        <v>10</v>
      </c>
      <c r="M22" s="21">
        <f t="shared" ref="M22:M37" si="11">inp_xr_min</f>
        <v>0.5</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25">
      <c r="A23" s="1">
        <v>2021</v>
      </c>
      <c r="B23" s="11" t="b">
        <v>1</v>
      </c>
      <c r="C23" s="11" t="b">
        <v>1</v>
      </c>
      <c r="D23" s="1" t="s">
        <v>283</v>
      </c>
      <c r="E23" s="5">
        <f t="shared" si="0"/>
        <v>0.02</v>
      </c>
      <c r="F23" s="24">
        <v>1</v>
      </c>
      <c r="G23" s="21" t="s">
        <v>105</v>
      </c>
      <c r="H23" s="21" t="s">
        <v>218</v>
      </c>
      <c r="I23" s="20" t="s">
        <v>105</v>
      </c>
      <c r="J23" s="24">
        <v>0</v>
      </c>
      <c r="K23" s="21" t="s">
        <v>105</v>
      </c>
      <c r="L23" s="21">
        <f t="shared" si="10"/>
        <v>10</v>
      </c>
      <c r="M23" s="21">
        <f t="shared" si="11"/>
        <v>0.5</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25">
      <c r="A24" s="1">
        <v>2022</v>
      </c>
      <c r="B24" s="11" t="b">
        <v>1</v>
      </c>
      <c r="C24" s="11" t="b">
        <v>1</v>
      </c>
      <c r="D24" s="1" t="s">
        <v>284</v>
      </c>
      <c r="E24" s="5">
        <f t="shared" si="0"/>
        <v>0.02</v>
      </c>
      <c r="F24" s="24">
        <v>1</v>
      </c>
      <c r="G24" s="21" t="s">
        <v>105</v>
      </c>
      <c r="H24" s="21" t="s">
        <v>218</v>
      </c>
      <c r="I24" s="20" t="s">
        <v>105</v>
      </c>
      <c r="J24" s="24">
        <v>0</v>
      </c>
      <c r="K24" s="21" t="s">
        <v>105</v>
      </c>
      <c r="L24" s="21">
        <f t="shared" si="10"/>
        <v>10</v>
      </c>
      <c r="M24" s="21">
        <f t="shared" si="11"/>
        <v>0.5</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25">
      <c r="A25" s="1">
        <v>2023</v>
      </c>
      <c r="B25" s="11" t="b">
        <v>1</v>
      </c>
      <c r="C25" s="11" t="b">
        <v>1</v>
      </c>
      <c r="D25" s="1" t="s">
        <v>285</v>
      </c>
      <c r="E25" s="5">
        <f t="shared" si="0"/>
        <v>0.02</v>
      </c>
      <c r="F25" s="24">
        <v>1</v>
      </c>
      <c r="G25" s="21" t="s">
        <v>105</v>
      </c>
      <c r="H25" s="21" t="s">
        <v>218</v>
      </c>
      <c r="I25" s="20" t="s">
        <v>105</v>
      </c>
      <c r="J25" s="24">
        <v>0</v>
      </c>
      <c r="K25" s="21" t="s">
        <v>105</v>
      </c>
      <c r="L25" s="21">
        <f t="shared" si="10"/>
        <v>10</v>
      </c>
      <c r="M25" s="21">
        <f t="shared" si="11"/>
        <v>0.5</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25">
      <c r="A26" s="1">
        <v>2024</v>
      </c>
      <c r="B26" s="11" t="b">
        <v>1</v>
      </c>
      <c r="C26" s="11" t="b">
        <v>1</v>
      </c>
      <c r="D26" s="1" t="s">
        <v>286</v>
      </c>
      <c r="E26" s="5">
        <f t="shared" si="0"/>
        <v>0.02</v>
      </c>
      <c r="F26" s="24">
        <v>1</v>
      </c>
      <c r="G26" s="21" t="s">
        <v>105</v>
      </c>
      <c r="H26" s="21" t="s">
        <v>218</v>
      </c>
      <c r="I26" s="20" t="s">
        <v>105</v>
      </c>
      <c r="J26" s="24">
        <v>0</v>
      </c>
      <c r="K26" s="21" t="s">
        <v>105</v>
      </c>
      <c r="L26" s="21">
        <f t="shared" si="10"/>
        <v>10</v>
      </c>
      <c r="M26" s="21">
        <f t="shared" si="11"/>
        <v>0.5</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25">
      <c r="A27" s="1">
        <v>2025</v>
      </c>
      <c r="B27" s="11" t="b">
        <v>1</v>
      </c>
      <c r="C27" s="11" t="b">
        <v>1</v>
      </c>
      <c r="D27" s="1" t="s">
        <v>287</v>
      </c>
      <c r="E27" s="5">
        <f t="shared" si="0"/>
        <v>0.02</v>
      </c>
      <c r="F27" s="24">
        <v>1</v>
      </c>
      <c r="G27" s="21" t="s">
        <v>105</v>
      </c>
      <c r="H27" s="21" t="s">
        <v>218</v>
      </c>
      <c r="I27" s="20" t="s">
        <v>105</v>
      </c>
      <c r="J27" s="24">
        <v>0</v>
      </c>
      <c r="K27" s="21" t="s">
        <v>105</v>
      </c>
      <c r="L27" s="21">
        <f t="shared" si="10"/>
        <v>10</v>
      </c>
      <c r="M27" s="21">
        <f t="shared" si="11"/>
        <v>0.5</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25">
      <c r="A28" s="1">
        <v>2026</v>
      </c>
      <c r="B28" s="11" t="b">
        <v>1</v>
      </c>
      <c r="C28" s="11" t="b">
        <v>1</v>
      </c>
      <c r="D28" s="1" t="s">
        <v>288</v>
      </c>
      <c r="E28" s="5">
        <f t="shared" si="0"/>
        <v>0.02</v>
      </c>
      <c r="F28" s="24">
        <v>1</v>
      </c>
      <c r="G28" s="21" t="s">
        <v>105</v>
      </c>
      <c r="H28" s="21" t="s">
        <v>218</v>
      </c>
      <c r="I28" s="20" t="s">
        <v>105</v>
      </c>
      <c r="J28" s="24">
        <v>0</v>
      </c>
      <c r="K28" s="21" t="s">
        <v>105</v>
      </c>
      <c r="L28" s="21">
        <f t="shared" si="10"/>
        <v>10</v>
      </c>
      <c r="M28" s="21">
        <f t="shared" si="11"/>
        <v>0.5</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25">
      <c r="A29" s="1">
        <v>2027</v>
      </c>
      <c r="B29" s="11" t="b">
        <v>1</v>
      </c>
      <c r="C29" s="11" t="b">
        <v>1</v>
      </c>
      <c r="D29" s="1" t="s">
        <v>289</v>
      </c>
      <c r="E29" s="5">
        <f t="shared" si="0"/>
        <v>0.02</v>
      </c>
      <c r="F29" s="24">
        <v>1</v>
      </c>
      <c r="G29" s="21" t="s">
        <v>105</v>
      </c>
      <c r="H29" s="21" t="s">
        <v>218</v>
      </c>
      <c r="I29" s="20" t="s">
        <v>105</v>
      </c>
      <c r="J29" s="24">
        <v>0</v>
      </c>
      <c r="K29" s="21" t="s">
        <v>105</v>
      </c>
      <c r="L29" s="21">
        <f t="shared" si="10"/>
        <v>10</v>
      </c>
      <c r="M29" s="21">
        <f t="shared" si="11"/>
        <v>0.5</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25">
      <c r="A30" s="1">
        <v>2028</v>
      </c>
      <c r="B30" s="11" t="b">
        <v>1</v>
      </c>
      <c r="C30" s="11" t="b">
        <v>1</v>
      </c>
      <c r="D30" s="1" t="s">
        <v>290</v>
      </c>
      <c r="E30" s="5">
        <f t="shared" si="0"/>
        <v>0.02</v>
      </c>
      <c r="F30" s="24">
        <v>1</v>
      </c>
      <c r="G30" s="21" t="s">
        <v>105</v>
      </c>
      <c r="H30" s="21" t="s">
        <v>218</v>
      </c>
      <c r="I30" s="20" t="s">
        <v>105</v>
      </c>
      <c r="J30" s="24">
        <v>0</v>
      </c>
      <c r="K30" s="21" t="s">
        <v>105</v>
      </c>
      <c r="L30" s="21">
        <f t="shared" si="10"/>
        <v>10</v>
      </c>
      <c r="M30" s="21">
        <f t="shared" si="11"/>
        <v>0.5</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25">
      <c r="A31" s="1">
        <v>2029</v>
      </c>
      <c r="B31" s="11" t="b">
        <v>1</v>
      </c>
      <c r="C31" s="11" t="b">
        <v>1</v>
      </c>
      <c r="D31" s="1" t="s">
        <v>291</v>
      </c>
      <c r="E31" s="5">
        <f t="shared" si="0"/>
        <v>0.02</v>
      </c>
      <c r="F31" s="24">
        <v>1</v>
      </c>
      <c r="G31" s="21" t="s">
        <v>105</v>
      </c>
      <c r="H31" s="21" t="s">
        <v>218</v>
      </c>
      <c r="I31" s="20" t="s">
        <v>105</v>
      </c>
      <c r="J31" s="24">
        <v>0</v>
      </c>
      <c r="K31" s="21" t="s">
        <v>105</v>
      </c>
      <c r="L31" s="21">
        <f t="shared" si="10"/>
        <v>10</v>
      </c>
      <c r="M31" s="21">
        <f t="shared" si="11"/>
        <v>0.5</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25">
      <c r="A32" s="1">
        <v>2030</v>
      </c>
      <c r="B32" s="11" t="b">
        <v>1</v>
      </c>
      <c r="C32" s="11" t="b">
        <v>1</v>
      </c>
      <c r="D32" s="1" t="s">
        <v>292</v>
      </c>
      <c r="E32" s="5">
        <f t="shared" si="0"/>
        <v>0.02</v>
      </c>
      <c r="F32" s="24">
        <v>1</v>
      </c>
      <c r="G32" s="21" t="s">
        <v>105</v>
      </c>
      <c r="H32" s="21" t="s">
        <v>218</v>
      </c>
      <c r="I32" s="20" t="s">
        <v>105</v>
      </c>
      <c r="J32" s="24">
        <v>0</v>
      </c>
      <c r="K32" s="21" t="s">
        <v>105</v>
      </c>
      <c r="L32" s="21">
        <f t="shared" si="10"/>
        <v>10</v>
      </c>
      <c r="M32" s="21">
        <f t="shared" si="11"/>
        <v>0.5</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25">
      <c r="A33" s="1">
        <v>2031</v>
      </c>
      <c r="B33" s="11" t="b">
        <v>1</v>
      </c>
      <c r="C33" s="11" t="b">
        <v>1</v>
      </c>
      <c r="D33" s="1" t="s">
        <v>293</v>
      </c>
      <c r="E33" s="5">
        <f t="shared" si="0"/>
        <v>0.02</v>
      </c>
      <c r="F33" s="24">
        <v>1</v>
      </c>
      <c r="G33" s="21" t="s">
        <v>105</v>
      </c>
      <c r="H33" s="21" t="s">
        <v>218</v>
      </c>
      <c r="I33" s="20" t="s">
        <v>105</v>
      </c>
      <c r="J33" s="24">
        <v>0</v>
      </c>
      <c r="K33" s="21" t="s">
        <v>105</v>
      </c>
      <c r="L33" s="21">
        <f t="shared" si="10"/>
        <v>10</v>
      </c>
      <c r="M33" s="21">
        <f t="shared" si="11"/>
        <v>0.5</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25">
      <c r="A34" s="1">
        <v>2032</v>
      </c>
      <c r="B34" s="11" t="b">
        <v>1</v>
      </c>
      <c r="C34" s="11" t="b">
        <v>1</v>
      </c>
      <c r="D34" s="1" t="s">
        <v>294</v>
      </c>
      <c r="E34" s="5">
        <f t="shared" si="0"/>
        <v>0.02</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25">
      <c r="A35" s="1">
        <v>2033</v>
      </c>
      <c r="B35" s="11" t="b">
        <v>1</v>
      </c>
      <c r="C35" s="11" t="b">
        <v>1</v>
      </c>
      <c r="D35" s="1" t="s">
        <v>295</v>
      </c>
      <c r="E35" s="5">
        <f t="shared" si="0"/>
        <v>0.02</v>
      </c>
      <c r="F35" s="24">
        <v>1</v>
      </c>
      <c r="G35" s="21" t="s">
        <v>105</v>
      </c>
      <c r="H35" s="21" t="s">
        <v>218</v>
      </c>
      <c r="I35" s="20" t="s">
        <v>105</v>
      </c>
      <c r="J35" s="24">
        <v>0</v>
      </c>
      <c r="K35" s="21" t="s">
        <v>105</v>
      </c>
      <c r="L35" s="21">
        <f t="shared" si="10"/>
        <v>10</v>
      </c>
      <c r="M35" s="21">
        <f t="shared" si="11"/>
        <v>0.5</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25">
      <c r="A36" s="1">
        <v>2034</v>
      </c>
      <c r="B36" s="11" t="b">
        <v>1</v>
      </c>
      <c r="C36" s="11" t="b">
        <v>1</v>
      </c>
      <c r="D36" s="1" t="s">
        <v>296</v>
      </c>
      <c r="E36" s="5">
        <f t="shared" si="0"/>
        <v>0.02</v>
      </c>
      <c r="F36" s="24">
        <v>1</v>
      </c>
      <c r="G36" s="21" t="s">
        <v>105</v>
      </c>
      <c r="H36" s="21" t="s">
        <v>218</v>
      </c>
      <c r="I36" s="20" t="s">
        <v>105</v>
      </c>
      <c r="J36" s="24">
        <v>0</v>
      </c>
      <c r="K36" s="21" t="s">
        <v>105</v>
      </c>
      <c r="L36" s="21">
        <f t="shared" si="10"/>
        <v>10</v>
      </c>
      <c r="M36" s="21">
        <f t="shared" si="11"/>
        <v>0.5</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25">
      <c r="A37" s="1">
        <v>2035</v>
      </c>
      <c r="B37" s="11" t="b">
        <v>1</v>
      </c>
      <c r="C37" s="11" t="b">
        <v>1</v>
      </c>
      <c r="D37" s="1" t="s">
        <v>297</v>
      </c>
      <c r="E37" s="5">
        <f t="shared" si="0"/>
        <v>0.02</v>
      </c>
      <c r="F37" s="24">
        <v>1</v>
      </c>
      <c r="G37" s="21" t="s">
        <v>105</v>
      </c>
      <c r="H37" s="21" t="s">
        <v>218</v>
      </c>
      <c r="I37" s="20" t="s">
        <v>105</v>
      </c>
      <c r="J37" s="24">
        <v>0</v>
      </c>
      <c r="K37" s="21" t="s">
        <v>105</v>
      </c>
      <c r="L37" s="21">
        <f t="shared" si="10"/>
        <v>10</v>
      </c>
      <c r="M37" s="21">
        <f t="shared" si="11"/>
        <v>0.5</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25">
      <c r="A38" s="1">
        <v>2036</v>
      </c>
      <c r="B38" s="11" t="b">
        <v>1</v>
      </c>
      <c r="C38" s="11" t="b">
        <v>1</v>
      </c>
      <c r="D38" s="1" t="s">
        <v>298</v>
      </c>
      <c r="E38" s="5">
        <f t="shared" si="0"/>
        <v>0.02</v>
      </c>
      <c r="F38" s="24">
        <v>1</v>
      </c>
      <c r="G38" s="21" t="s">
        <v>105</v>
      </c>
      <c r="H38" s="21" t="s">
        <v>218</v>
      </c>
      <c r="I38" s="20" t="s">
        <v>105</v>
      </c>
      <c r="J38" s="24">
        <v>0</v>
      </c>
      <c r="K38" s="21" t="s">
        <v>105</v>
      </c>
      <c r="L38" s="21">
        <f t="shared" ref="L38:L39" si="15">inp_scr_min</f>
        <v>10</v>
      </c>
      <c r="M38" s="21">
        <f t="shared" ref="M38:M39" si="16">inp_xr_min</f>
        <v>0.5</v>
      </c>
      <c r="N38" s="21" t="s">
        <v>105</v>
      </c>
      <c r="O38" s="22">
        <v>2</v>
      </c>
      <c r="P38" s="17" t="s">
        <v>115</v>
      </c>
      <c r="Q38" s="17">
        <v>0</v>
      </c>
      <c r="R38" s="70">
        <v>0.2</v>
      </c>
      <c r="S38" s="17">
        <v>0.25</v>
      </c>
      <c r="T38" s="5" t="s">
        <v>119</v>
      </c>
      <c r="U38" s="5">
        <f>Q38+S38-0.001</f>
        <v>0.249</v>
      </c>
      <c r="V38" s="5">
        <f>inp_scr_min</f>
        <v>10</v>
      </c>
      <c r="W38" s="5">
        <f>inp_xr_min</f>
        <v>0.5</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25">
      <c r="A39" s="1">
        <v>2037</v>
      </c>
      <c r="B39" s="11" t="b">
        <v>1</v>
      </c>
      <c r="C39" s="11" t="b">
        <v>1</v>
      </c>
      <c r="D39" s="1" t="s">
        <v>299</v>
      </c>
      <c r="E39" s="5">
        <f t="shared" si="0"/>
        <v>0.02</v>
      </c>
      <c r="F39" s="24">
        <v>1</v>
      </c>
      <c r="G39" s="21" t="s">
        <v>105</v>
      </c>
      <c r="H39" s="21" t="s">
        <v>218</v>
      </c>
      <c r="I39" s="20" t="s">
        <v>105</v>
      </c>
      <c r="J39" s="24">
        <v>0</v>
      </c>
      <c r="K39" s="21" t="s">
        <v>105</v>
      </c>
      <c r="L39" s="21">
        <f t="shared" si="15"/>
        <v>10</v>
      </c>
      <c r="M39" s="21">
        <f t="shared" si="16"/>
        <v>0.5</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25">
      <c r="A40" s="1">
        <v>2038</v>
      </c>
      <c r="B40" s="11" t="b">
        <v>1</v>
      </c>
      <c r="C40" s="11" t="b">
        <v>1</v>
      </c>
      <c r="D40" s="1" t="s">
        <v>300</v>
      </c>
      <c r="E40" s="5">
        <f t="shared" si="0"/>
        <v>0.02</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25">
      <c r="A41" s="1">
        <v>2039</v>
      </c>
      <c r="B41" s="11" t="b">
        <v>1</v>
      </c>
      <c r="C41" s="11" t="b">
        <v>1</v>
      </c>
      <c r="D41" s="1" t="s">
        <v>301</v>
      </c>
      <c r="E41" s="5">
        <f t="shared" si="0"/>
        <v>0.02</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25">
      <c r="A42" s="1">
        <v>2040</v>
      </c>
      <c r="B42" s="11" t="b">
        <v>1</v>
      </c>
      <c r="C42" s="11" t="b">
        <v>1</v>
      </c>
      <c r="D42" s="1" t="s">
        <v>302</v>
      </c>
      <c r="E42" s="5">
        <f t="shared" si="0"/>
        <v>0.02</v>
      </c>
      <c r="F42" s="24">
        <v>1</v>
      </c>
      <c r="G42" s="21" t="s">
        <v>105</v>
      </c>
      <c r="H42" s="21" t="s">
        <v>218</v>
      </c>
      <c r="I42" s="20" t="s">
        <v>105</v>
      </c>
      <c r="J42" s="24">
        <v>0</v>
      </c>
      <c r="K42" s="21" t="s">
        <v>105</v>
      </c>
      <c r="L42" s="21">
        <f>inp_scr_tun</f>
        <v>20</v>
      </c>
      <c r="M42" s="21">
        <f>inp_xr_tun</f>
        <v>-100</v>
      </c>
      <c r="N42" s="21" t="s">
        <v>105</v>
      </c>
      <c r="O42" s="22">
        <v>12</v>
      </c>
      <c r="P42" s="17" t="s">
        <v>115</v>
      </c>
      <c r="Q42" s="17">
        <v>0</v>
      </c>
      <c r="R42" s="71">
        <v>0.05</v>
      </c>
      <c r="S42" s="17">
        <v>0.15</v>
      </c>
      <c r="T42" s="5" t="s">
        <v>119</v>
      </c>
      <c r="U42" s="5">
        <f>Q42+S42-0.001</f>
        <v>0.14899999999999999</v>
      </c>
      <c r="V42" s="5">
        <f>inp_scr_min</f>
        <v>10</v>
      </c>
      <c r="W42" s="5">
        <f>inp_xr_min</f>
        <v>0.5</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25">
      <c r="A43" s="1">
        <v>2041</v>
      </c>
      <c r="B43" s="11" t="b">
        <v>1</v>
      </c>
      <c r="C43" s="11" t="b">
        <v>1</v>
      </c>
      <c r="D43" s="1" t="s">
        <v>303</v>
      </c>
      <c r="E43" s="5">
        <f t="shared" si="0"/>
        <v>0.02</v>
      </c>
      <c r="F43" s="24">
        <v>1</v>
      </c>
      <c r="G43" s="21" t="s">
        <v>105</v>
      </c>
      <c r="H43" s="21" t="s">
        <v>218</v>
      </c>
      <c r="I43" s="20" t="s">
        <v>105</v>
      </c>
      <c r="J43" s="24">
        <v>0</v>
      </c>
      <c r="K43" s="21" t="s">
        <v>105</v>
      </c>
      <c r="L43" s="21">
        <f>inp_scr_tun</f>
        <v>20</v>
      </c>
      <c r="M43" s="21">
        <f>inp_xr_tun</f>
        <v>-100</v>
      </c>
      <c r="N43" s="21" t="s">
        <v>105</v>
      </c>
      <c r="O43" s="22">
        <v>12</v>
      </c>
      <c r="P43" s="17" t="s">
        <v>118</v>
      </c>
      <c r="Q43" s="17">
        <v>0</v>
      </c>
      <c r="R43" s="71">
        <v>0.1</v>
      </c>
      <c r="S43" s="17">
        <v>0.15</v>
      </c>
      <c r="T43" s="5" t="s">
        <v>119</v>
      </c>
      <c r="U43" s="5">
        <f>Q43+S43-0.001</f>
        <v>0.14899999999999999</v>
      </c>
      <c r="V43" s="5">
        <f>inp_scr_min</f>
        <v>10</v>
      </c>
      <c r="W43" s="5">
        <f>inp_xr_min</f>
        <v>0.5</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25">
      <c r="A44" s="1">
        <v>2042</v>
      </c>
      <c r="B44" s="117" t="b">
        <v>1</v>
      </c>
      <c r="C44" s="117" t="b">
        <v>1</v>
      </c>
      <c r="D44" s="118" t="s">
        <v>789</v>
      </c>
      <c r="E44" s="24">
        <f t="shared" ref="E44:E45" si="17">inp_Uc/inp_Un</f>
        <v>0.02</v>
      </c>
      <c r="F44" s="24">
        <v>1</v>
      </c>
      <c r="G44" s="21" t="s">
        <v>105</v>
      </c>
      <c r="H44" s="119" t="s">
        <v>218</v>
      </c>
      <c r="I44" s="120" t="s">
        <v>105</v>
      </c>
      <c r="J44" s="24">
        <f t="shared" ref="J44:J45" si="18">inp_Uc/inp_Un</f>
        <v>0.02</v>
      </c>
      <c r="K44" s="21" t="s">
        <v>105</v>
      </c>
      <c r="L44" s="119">
        <v>-1</v>
      </c>
      <c r="M44" s="119">
        <v>0</v>
      </c>
      <c r="N44" s="21" t="s">
        <v>105</v>
      </c>
      <c r="O44" s="121"/>
      <c r="P44" s="122" t="s">
        <v>124</v>
      </c>
      <c r="Q44" s="122"/>
      <c r="R44" s="269" t="s">
        <v>125</v>
      </c>
      <c r="S44" s="269">
        <f t="shared" ref="S44:S45" si="19">inp_Uc/inp_Un</f>
        <v>0.02</v>
      </c>
      <c r="T44" s="24"/>
      <c r="U44" s="24"/>
      <c r="V44" s="24"/>
      <c r="W44" s="24"/>
      <c r="X44" s="261"/>
      <c r="Y44" s="261"/>
      <c r="Z44" s="261"/>
      <c r="AA44" s="261"/>
      <c r="AB44" s="24"/>
      <c r="AC44" s="24"/>
      <c r="AD44" s="24"/>
      <c r="AE44" s="24"/>
      <c r="AF44" s="261"/>
      <c r="AG44" s="261"/>
      <c r="AH44" s="261"/>
      <c r="AI44" s="261"/>
      <c r="AJ44" s="24"/>
      <c r="AK44" s="24"/>
      <c r="AL44" s="24"/>
      <c r="AM44" s="24"/>
      <c r="AN44" s="261"/>
      <c r="AO44" s="261"/>
      <c r="AP44" s="261"/>
      <c r="AQ44" s="261"/>
      <c r="AR44" s="24"/>
      <c r="AS44" s="24"/>
      <c r="AT44" s="24"/>
      <c r="AU44" s="24"/>
      <c r="AV44" s="261"/>
      <c r="AW44" s="261"/>
      <c r="AX44" s="261"/>
      <c r="AY44" s="261"/>
      <c r="AZ44" s="24"/>
      <c r="BA44" s="24"/>
      <c r="BB44" s="24"/>
      <c r="BC44" s="24"/>
      <c r="BD44" s="261"/>
      <c r="BE44" s="261"/>
      <c r="BF44" s="261"/>
      <c r="BG44" s="261"/>
      <c r="BH44" s="24"/>
      <c r="BI44" s="24"/>
      <c r="BJ44" s="24"/>
      <c r="BK44" s="24"/>
    </row>
    <row r="45" spans="1:63" x14ac:dyDescent="0.25">
      <c r="A45" s="1">
        <v>2043</v>
      </c>
      <c r="B45" s="117" t="b">
        <v>1</v>
      </c>
      <c r="C45" s="117" t="b">
        <v>1</v>
      </c>
      <c r="D45" s="118" t="s">
        <v>790</v>
      </c>
      <c r="E45" s="24">
        <f t="shared" si="17"/>
        <v>0.02</v>
      </c>
      <c r="F45" s="24">
        <v>1</v>
      </c>
      <c r="G45" s="21" t="s">
        <v>105</v>
      </c>
      <c r="H45" s="119" t="s">
        <v>218</v>
      </c>
      <c r="I45" s="120" t="s">
        <v>105</v>
      </c>
      <c r="J45" s="24">
        <f t="shared" si="18"/>
        <v>0.02</v>
      </c>
      <c r="K45" s="21" t="s">
        <v>105</v>
      </c>
      <c r="L45" s="119">
        <v>-1</v>
      </c>
      <c r="M45" s="119">
        <v>0</v>
      </c>
      <c r="N45" s="21" t="s">
        <v>105</v>
      </c>
      <c r="O45" s="121"/>
      <c r="P45" s="122" t="s">
        <v>124</v>
      </c>
      <c r="Q45" s="122"/>
      <c r="R45" s="269" t="s">
        <v>338</v>
      </c>
      <c r="S45" s="269">
        <f t="shared" si="19"/>
        <v>0.02</v>
      </c>
      <c r="T45" s="24"/>
      <c r="U45" s="24"/>
      <c r="V45" s="24"/>
      <c r="W45" s="24"/>
      <c r="X45" s="261"/>
      <c r="Y45" s="261"/>
      <c r="Z45" s="261"/>
      <c r="AA45" s="261"/>
      <c r="AB45" s="24"/>
      <c r="AC45" s="24"/>
      <c r="AD45" s="24"/>
      <c r="AE45" s="24"/>
      <c r="AF45" s="261"/>
      <c r="AG45" s="261"/>
      <c r="AH45" s="261"/>
      <c r="AI45" s="261"/>
      <c r="AJ45" s="24"/>
      <c r="AK45" s="24"/>
      <c r="AL45" s="24"/>
      <c r="AM45" s="24"/>
      <c r="AN45" s="261"/>
      <c r="AO45" s="261"/>
      <c r="AP45" s="261"/>
      <c r="AQ45" s="261"/>
      <c r="AR45" s="24"/>
      <c r="AS45" s="24"/>
      <c r="AT45" s="24"/>
      <c r="AU45" s="24"/>
      <c r="AV45" s="261"/>
      <c r="AW45" s="261"/>
      <c r="AX45" s="261"/>
      <c r="AY45" s="261"/>
      <c r="AZ45" s="24"/>
      <c r="BA45" s="24"/>
      <c r="BB45" s="24"/>
      <c r="BC45" s="24"/>
      <c r="BD45" s="261"/>
      <c r="BE45" s="261"/>
      <c r="BF45" s="261"/>
      <c r="BG45" s="261"/>
      <c r="BH45" s="24"/>
      <c r="BI45" s="24"/>
      <c r="BJ45" s="24"/>
      <c r="BK45" s="24"/>
    </row>
    <row r="46" spans="1:63" x14ac:dyDescent="0.25">
      <c r="A46" s="1">
        <v>2044</v>
      </c>
      <c r="B46" s="11" t="b">
        <v>1</v>
      </c>
      <c r="C46" s="11" t="b">
        <v>1</v>
      </c>
      <c r="D46" s="1" t="s">
        <v>304</v>
      </c>
      <c r="E46" s="5">
        <f t="shared" si="0"/>
        <v>0.02</v>
      </c>
      <c r="F46" s="24">
        <v>1</v>
      </c>
      <c r="G46" s="21" t="s">
        <v>105</v>
      </c>
      <c r="H46" s="21" t="s">
        <v>218</v>
      </c>
      <c r="I46" s="20" t="s">
        <v>105</v>
      </c>
      <c r="J46" s="24">
        <v>0</v>
      </c>
      <c r="K46" s="21" t="s">
        <v>105</v>
      </c>
      <c r="L46" s="21">
        <f>inp_scr_tun</f>
        <v>20</v>
      </c>
      <c r="M46" s="21">
        <f>inp_xr_tun</f>
        <v>-100</v>
      </c>
      <c r="N46" s="21" t="s">
        <v>105</v>
      </c>
      <c r="O46" s="22">
        <v>12</v>
      </c>
      <c r="P46" s="17" t="s">
        <v>115</v>
      </c>
      <c r="Q46" s="17">
        <v>0</v>
      </c>
      <c r="R46" s="70">
        <v>0.4</v>
      </c>
      <c r="S46" s="17">
        <v>0.2</v>
      </c>
      <c r="T46" s="5" t="s">
        <v>119</v>
      </c>
      <c r="U46" s="5">
        <f>Q46+S46-0.001</f>
        <v>0.19900000000000001</v>
      </c>
      <c r="V46" s="5">
        <f>inp_scr_min</f>
        <v>10</v>
      </c>
      <c r="W46" s="5">
        <f>inp_xr_min</f>
        <v>0.5</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25">
      <c r="A47" s="1">
        <v>2045</v>
      </c>
      <c r="B47" s="11" t="b">
        <v>1</v>
      </c>
      <c r="C47" s="11" t="b">
        <v>1</v>
      </c>
      <c r="D47" s="1" t="s">
        <v>355</v>
      </c>
      <c r="E47" s="24">
        <f t="shared" si="0"/>
        <v>0.02</v>
      </c>
      <c r="F47" s="24">
        <v>1</v>
      </c>
      <c r="G47" s="21" t="s">
        <v>105</v>
      </c>
      <c r="H47" s="119" t="s">
        <v>218</v>
      </c>
      <c r="I47" s="120" t="s">
        <v>105</v>
      </c>
      <c r="J47" s="24">
        <f t="shared" ref="J47" si="20">IF(inp_default="Q(U)",E47,IF(inp_default="PF",1,0))</f>
        <v>0</v>
      </c>
      <c r="K47" s="21" t="s">
        <v>105</v>
      </c>
      <c r="L47" s="119">
        <f>inp_scr_max</f>
        <v>30</v>
      </c>
      <c r="M47" s="119" t="str">
        <f>inp_xr_max</f>
        <v>Demand</v>
      </c>
      <c r="N47" s="21" t="s">
        <v>105</v>
      </c>
      <c r="O47" s="121">
        <v>10</v>
      </c>
      <c r="P47" s="122" t="s">
        <v>119</v>
      </c>
      <c r="Q47" s="122">
        <v>0</v>
      </c>
      <c r="R47" s="122">
        <f>inp_scr_min</f>
        <v>10</v>
      </c>
      <c r="S47" s="122">
        <f>inp_xr_min</f>
        <v>0.5</v>
      </c>
      <c r="T47" s="24" t="s">
        <v>119</v>
      </c>
      <c r="U47" s="24">
        <v>5</v>
      </c>
      <c r="V47" s="24">
        <f>inp_scr_max</f>
        <v>30</v>
      </c>
      <c r="W47" s="24" t="str">
        <f>inp_xr_max</f>
        <v>Demand</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25">
      <c r="A48" s="1">
        <v>2046</v>
      </c>
      <c r="B48" s="117" t="b">
        <v>1</v>
      </c>
      <c r="C48" s="117" t="b">
        <v>1</v>
      </c>
      <c r="D48" s="118" t="s">
        <v>787</v>
      </c>
      <c r="E48" s="24">
        <v>1</v>
      </c>
      <c r="F48" s="24">
        <v>1</v>
      </c>
      <c r="G48" s="21" t="s">
        <v>105</v>
      </c>
      <c r="H48" s="119" t="s">
        <v>218</v>
      </c>
      <c r="I48" s="120" t="s">
        <v>105</v>
      </c>
      <c r="J48" s="24">
        <v>1</v>
      </c>
      <c r="K48" s="21" t="s">
        <v>105</v>
      </c>
      <c r="L48" s="119">
        <v>-1</v>
      </c>
      <c r="M48" s="119">
        <v>0</v>
      </c>
      <c r="N48" s="21" t="s">
        <v>105</v>
      </c>
      <c r="O48" s="253">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54">
        <v>46</v>
      </c>
      <c r="AL48" s="24">
        <f>sel_lvfrt_start-0.05</f>
        <v>0.79999999999999993</v>
      </c>
      <c r="AM48" s="24"/>
      <c r="AN48" s="122" t="s">
        <v>108</v>
      </c>
      <c r="AO48" s="122">
        <v>51</v>
      </c>
      <c r="AP48" s="122">
        <f>$E48</f>
        <v>1</v>
      </c>
      <c r="AQ48" s="122"/>
      <c r="AR48" s="24" t="s">
        <v>108</v>
      </c>
      <c r="AS48" s="254">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25">
      <c r="A49" s="1">
        <v>2047</v>
      </c>
      <c r="B49" s="117" t="b">
        <v>1</v>
      </c>
      <c r="C49" s="117" t="b">
        <v>1</v>
      </c>
      <c r="D49" s="118" t="s">
        <v>788</v>
      </c>
      <c r="E49" s="24">
        <v>1</v>
      </c>
      <c r="F49" s="24">
        <v>1</v>
      </c>
      <c r="G49" s="21" t="s">
        <v>105</v>
      </c>
      <c r="H49" s="119" t="s">
        <v>218</v>
      </c>
      <c r="I49" s="120" t="s">
        <v>105</v>
      </c>
      <c r="J49" s="24">
        <v>1</v>
      </c>
      <c r="K49" s="21" t="s">
        <v>105</v>
      </c>
      <c r="L49" s="119">
        <v>-1</v>
      </c>
      <c r="M49" s="119">
        <v>0</v>
      </c>
      <c r="N49" s="21" t="s">
        <v>105</v>
      </c>
      <c r="O49" s="253">
        <v>20</v>
      </c>
      <c r="P49" s="267" t="s">
        <v>109</v>
      </c>
      <c r="Q49" s="267">
        <v>2</v>
      </c>
      <c r="R49" s="267"/>
      <c r="S49" s="267">
        <v>-0.05</v>
      </c>
      <c r="T49" s="268" t="s">
        <v>109</v>
      </c>
      <c r="U49" s="268">
        <v>5.4</v>
      </c>
      <c r="V49" s="268"/>
      <c r="W49" s="268">
        <v>0</v>
      </c>
      <c r="X49" s="267" t="s">
        <v>109</v>
      </c>
      <c r="Y49" s="267">
        <f>U49+5</f>
        <v>10.4</v>
      </c>
      <c r="Z49" s="267"/>
      <c r="AA49" s="267">
        <v>0.1</v>
      </c>
      <c r="AB49" s="268" t="s">
        <v>109</v>
      </c>
      <c r="AC49" s="268">
        <v>12.100000000000001</v>
      </c>
      <c r="AD49" s="268"/>
      <c r="AE49" s="268">
        <v>0</v>
      </c>
      <c r="AF49" s="267"/>
      <c r="AG49" s="267"/>
      <c r="AH49" s="267"/>
      <c r="AI49" s="267"/>
      <c r="AJ49" s="24"/>
      <c r="AK49" s="254"/>
      <c r="AL49" s="24"/>
      <c r="AM49" s="24"/>
      <c r="AN49" s="255"/>
      <c r="AO49" s="122"/>
      <c r="AP49" s="122"/>
      <c r="AQ49" s="122"/>
      <c r="AR49" s="24"/>
      <c r="AS49" s="254"/>
      <c r="AT49" s="24"/>
      <c r="AU49" s="24"/>
      <c r="AV49" s="122"/>
      <c r="AW49" s="122"/>
      <c r="AX49" s="122"/>
      <c r="AY49" s="122"/>
      <c r="AZ49" s="24"/>
      <c r="BA49" s="24"/>
      <c r="BB49" s="24"/>
      <c r="BC49" s="24"/>
      <c r="BD49" s="122"/>
      <c r="BE49" s="122"/>
      <c r="BF49" s="122"/>
      <c r="BG49" s="122"/>
      <c r="BH49" s="24"/>
      <c r="BI49" s="24"/>
      <c r="BJ49" s="24"/>
      <c r="BK49" s="24"/>
    </row>
    <row r="50" spans="1:63" x14ac:dyDescent="0.25">
      <c r="A50" s="1">
        <v>2048</v>
      </c>
      <c r="B50" s="11" t="b">
        <v>1</v>
      </c>
      <c r="C50" s="11" t="b">
        <v>1</v>
      </c>
      <c r="D50" s="1" t="s">
        <v>305</v>
      </c>
      <c r="E50" s="5">
        <f t="shared" si="0"/>
        <v>0.02</v>
      </c>
      <c r="F50" s="24">
        <v>1</v>
      </c>
      <c r="G50" s="21" t="s">
        <v>105</v>
      </c>
      <c r="H50" s="21" t="s">
        <v>218</v>
      </c>
      <c r="I50" s="20" t="s">
        <v>105</v>
      </c>
      <c r="J50" s="24">
        <v>0</v>
      </c>
      <c r="K50" s="21" t="s">
        <v>105</v>
      </c>
      <c r="L50" s="21">
        <f t="shared" ref="L50:L79" si="21">inp_scr_min</f>
        <v>10</v>
      </c>
      <c r="M50" s="21">
        <f t="shared" ref="M50:M79" si="22">inp_xr_min</f>
        <v>0.5</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25">
      <c r="A51" s="1">
        <v>2049</v>
      </c>
      <c r="B51" s="11" t="b">
        <v>1</v>
      </c>
      <c r="C51" s="11" t="b">
        <v>1</v>
      </c>
      <c r="D51" s="1" t="s">
        <v>306</v>
      </c>
      <c r="E51" s="5">
        <f t="shared" si="0"/>
        <v>0.02</v>
      </c>
      <c r="F51" s="24">
        <v>1</v>
      </c>
      <c r="G51" s="21" t="s">
        <v>105</v>
      </c>
      <c r="H51" s="21" t="s">
        <v>218</v>
      </c>
      <c r="I51" s="20" t="s">
        <v>105</v>
      </c>
      <c r="J51" s="24">
        <v>0</v>
      </c>
      <c r="K51" s="21" t="s">
        <v>105</v>
      </c>
      <c r="L51" s="21">
        <f t="shared" si="21"/>
        <v>10</v>
      </c>
      <c r="M51" s="21">
        <f t="shared" si="22"/>
        <v>0.5</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25">
      <c r="A52" s="1">
        <v>2050</v>
      </c>
      <c r="B52" s="117" t="b">
        <v>1</v>
      </c>
      <c r="C52" s="117" t="b">
        <v>1</v>
      </c>
      <c r="D52" s="118" t="s">
        <v>791</v>
      </c>
      <c r="E52" s="24">
        <f t="shared" ref="E52:E53" si="23">inp_Uc/inp_Un</f>
        <v>0.02</v>
      </c>
      <c r="F52" s="24">
        <v>1</v>
      </c>
      <c r="G52" s="21" t="s">
        <v>105</v>
      </c>
      <c r="H52" s="119" t="s">
        <v>218</v>
      </c>
      <c r="I52" s="120" t="s">
        <v>105</v>
      </c>
      <c r="J52" s="24">
        <f t="shared" ref="J52:J53" si="24">inp_Uc/inp_Un</f>
        <v>0.02</v>
      </c>
      <c r="K52" s="21" t="s">
        <v>105</v>
      </c>
      <c r="L52" s="119">
        <f t="shared" ref="L52:L53" si="25">inp_scr_min</f>
        <v>10</v>
      </c>
      <c r="M52" s="119">
        <f t="shared" ref="M52:M53" si="26">inp_xr_min</f>
        <v>0.5</v>
      </c>
      <c r="N52" s="21" t="s">
        <v>105</v>
      </c>
      <c r="O52" s="121">
        <v>10</v>
      </c>
      <c r="P52" s="261" t="s">
        <v>107</v>
      </c>
      <c r="Q52" s="261">
        <v>0</v>
      </c>
      <c r="R52" s="261">
        <v>50</v>
      </c>
      <c r="S52" s="261">
        <v>2</v>
      </c>
      <c r="T52" s="265" t="s">
        <v>107</v>
      </c>
      <c r="U52" s="24">
        <v>0.5</v>
      </c>
      <c r="V52" s="24"/>
      <c r="W52" s="24">
        <v>-2</v>
      </c>
      <c r="X52" s="261" t="s">
        <v>107</v>
      </c>
      <c r="Y52" s="261">
        <v>1</v>
      </c>
      <c r="Z52" s="261"/>
      <c r="AA52" s="261">
        <v>0</v>
      </c>
      <c r="AB52" s="24" t="s">
        <v>107</v>
      </c>
      <c r="AC52" s="24">
        <v>2</v>
      </c>
      <c r="AD52" s="24">
        <v>50</v>
      </c>
      <c r="AE52" s="24">
        <v>-0.5</v>
      </c>
      <c r="AF52" s="261" t="s">
        <v>107</v>
      </c>
      <c r="AG52" s="261">
        <v>4</v>
      </c>
      <c r="AH52" s="261"/>
      <c r="AI52" s="261">
        <v>0.5</v>
      </c>
      <c r="AJ52" s="265" t="s">
        <v>107</v>
      </c>
      <c r="AK52" s="24">
        <v>6</v>
      </c>
      <c r="AL52" s="24"/>
      <c r="AM52" s="24">
        <v>0</v>
      </c>
      <c r="AN52" s="261"/>
      <c r="AO52" s="261"/>
      <c r="AP52" s="261"/>
      <c r="AQ52" s="261"/>
      <c r="AR52" s="265"/>
      <c r="AS52" s="24"/>
      <c r="AT52" s="24"/>
      <c r="AU52" s="24"/>
      <c r="AV52" s="261"/>
      <c r="AW52" s="261"/>
      <c r="AX52" s="261"/>
      <c r="AY52" s="261"/>
      <c r="AZ52" s="265"/>
      <c r="BA52" s="24"/>
      <c r="BB52" s="24"/>
      <c r="BC52" s="24"/>
      <c r="BD52" s="261"/>
      <c r="BE52" s="261"/>
      <c r="BF52" s="261"/>
      <c r="BG52" s="261"/>
      <c r="BH52" s="265"/>
      <c r="BI52" s="24"/>
      <c r="BJ52" s="24"/>
      <c r="BK52" s="270"/>
    </row>
    <row r="53" spans="1:63" x14ac:dyDescent="0.25">
      <c r="A53" s="1">
        <v>2051</v>
      </c>
      <c r="B53" s="117" t="b">
        <v>1</v>
      </c>
      <c r="C53" s="117" t="b">
        <v>1</v>
      </c>
      <c r="D53" s="118" t="s">
        <v>792</v>
      </c>
      <c r="E53" s="24">
        <f t="shared" si="23"/>
        <v>0.02</v>
      </c>
      <c r="F53" s="24">
        <v>1</v>
      </c>
      <c r="G53" s="21" t="s">
        <v>105</v>
      </c>
      <c r="H53" s="119" t="s">
        <v>218</v>
      </c>
      <c r="I53" s="120" t="s">
        <v>105</v>
      </c>
      <c r="J53" s="24">
        <f t="shared" si="24"/>
        <v>0.02</v>
      </c>
      <c r="K53" s="21" t="s">
        <v>105</v>
      </c>
      <c r="L53" s="119">
        <f t="shared" si="25"/>
        <v>10</v>
      </c>
      <c r="M53" s="119">
        <f t="shared" si="26"/>
        <v>0.5</v>
      </c>
      <c r="N53" s="21" t="s">
        <v>105</v>
      </c>
      <c r="O53" s="121">
        <v>5</v>
      </c>
      <c r="P53" s="261" t="s">
        <v>107</v>
      </c>
      <c r="Q53" s="261">
        <v>0</v>
      </c>
      <c r="R53" s="261">
        <v>50</v>
      </c>
      <c r="S53" s="261">
        <v>-4</v>
      </c>
      <c r="T53" s="265" t="s">
        <v>107</v>
      </c>
      <c r="U53" s="24">
        <v>0.08</v>
      </c>
      <c r="V53" s="24"/>
      <c r="W53" s="24">
        <v>0</v>
      </c>
      <c r="X53" s="261" t="s">
        <v>107</v>
      </c>
      <c r="Y53" s="261">
        <v>0.1</v>
      </c>
      <c r="Z53" s="261"/>
      <c r="AA53" s="261">
        <v>4</v>
      </c>
      <c r="AB53" s="24" t="s">
        <v>107</v>
      </c>
      <c r="AC53" s="24">
        <v>0.2</v>
      </c>
      <c r="AD53" s="24">
        <v>50</v>
      </c>
      <c r="AE53" s="24">
        <v>0</v>
      </c>
      <c r="AF53" s="261" t="s">
        <v>107</v>
      </c>
      <c r="AG53" s="261">
        <v>0.22</v>
      </c>
      <c r="AH53" s="261"/>
      <c r="AI53" s="261">
        <v>4</v>
      </c>
      <c r="AJ53" s="265" t="s">
        <v>107</v>
      </c>
      <c r="AK53" s="24">
        <v>0.3</v>
      </c>
      <c r="AL53" s="24"/>
      <c r="AM53" s="24">
        <v>0</v>
      </c>
      <c r="AN53" s="261" t="s">
        <v>107</v>
      </c>
      <c r="AO53" s="261">
        <v>0.32</v>
      </c>
      <c r="AP53" s="261"/>
      <c r="AQ53" s="261">
        <v>-4</v>
      </c>
      <c r="AR53" s="265" t="s">
        <v>107</v>
      </c>
      <c r="AS53" s="24">
        <v>0.42</v>
      </c>
      <c r="AT53" s="24"/>
      <c r="AU53" s="24">
        <v>0</v>
      </c>
      <c r="AV53" s="261" t="s">
        <v>107</v>
      </c>
      <c r="AW53" s="261">
        <v>1</v>
      </c>
      <c r="AX53" s="261"/>
      <c r="AY53" s="261">
        <v>-20</v>
      </c>
      <c r="AZ53" s="265" t="s">
        <v>107</v>
      </c>
      <c r="BA53" s="24">
        <v>1.02</v>
      </c>
      <c r="BB53" s="24"/>
      <c r="BC53" s="24">
        <v>0</v>
      </c>
      <c r="BD53" s="261" t="s">
        <v>107</v>
      </c>
      <c r="BE53" s="261">
        <v>1.04</v>
      </c>
      <c r="BF53" s="261"/>
      <c r="BG53" s="261">
        <v>20</v>
      </c>
      <c r="BH53" s="265" t="s">
        <v>107</v>
      </c>
      <c r="BI53" s="24">
        <v>1.06</v>
      </c>
      <c r="BJ53" s="24"/>
      <c r="BK53" s="270">
        <v>0</v>
      </c>
    </row>
    <row r="54" spans="1:63" x14ac:dyDescent="0.25">
      <c r="A54" s="1">
        <v>2052</v>
      </c>
      <c r="B54" s="11" t="b">
        <v>1</v>
      </c>
      <c r="C54" s="11" t="b">
        <v>1</v>
      </c>
      <c r="D54" s="1" t="s">
        <v>307</v>
      </c>
      <c r="E54" s="5">
        <f t="shared" si="0"/>
        <v>0.02</v>
      </c>
      <c r="F54" s="24">
        <v>0.7</v>
      </c>
      <c r="G54" s="21" t="s">
        <v>105</v>
      </c>
      <c r="H54" s="21" t="s">
        <v>218</v>
      </c>
      <c r="I54" s="20" t="s">
        <v>105</v>
      </c>
      <c r="J54" s="24">
        <v>0</v>
      </c>
      <c r="K54" s="21" t="s">
        <v>105</v>
      </c>
      <c r="L54" s="21">
        <f t="shared" si="21"/>
        <v>10</v>
      </c>
      <c r="M54" s="21">
        <f t="shared" si="22"/>
        <v>0.5</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25">
      <c r="A55" s="1">
        <v>2053</v>
      </c>
      <c r="B55" s="11" t="b">
        <v>1</v>
      </c>
      <c r="C55" s="11" t="b">
        <v>1</v>
      </c>
      <c r="D55" s="1" t="s">
        <v>308</v>
      </c>
      <c r="E55" s="5">
        <f t="shared" si="0"/>
        <v>0.02</v>
      </c>
      <c r="F55" s="24">
        <v>0.7</v>
      </c>
      <c r="G55" s="21" t="s">
        <v>105</v>
      </c>
      <c r="H55" s="21" t="s">
        <v>218</v>
      </c>
      <c r="I55" s="20" t="s">
        <v>105</v>
      </c>
      <c r="J55" s="24">
        <v>0</v>
      </c>
      <c r="K55" s="21" t="s">
        <v>105</v>
      </c>
      <c r="L55" s="21">
        <f t="shared" si="21"/>
        <v>10</v>
      </c>
      <c r="M55" s="21">
        <f t="shared" si="22"/>
        <v>0.5</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25">
      <c r="A56" s="1">
        <v>2054</v>
      </c>
      <c r="B56" s="11" t="b">
        <v>1</v>
      </c>
      <c r="C56" s="11" t="b">
        <v>1</v>
      </c>
      <c r="D56" s="1" t="s">
        <v>336</v>
      </c>
      <c r="E56" s="5">
        <f t="shared" si="0"/>
        <v>0.02</v>
      </c>
      <c r="F56" s="24">
        <v>1</v>
      </c>
      <c r="G56" s="21" t="s">
        <v>105</v>
      </c>
      <c r="H56" s="21" t="s">
        <v>218</v>
      </c>
      <c r="I56" s="20" t="s">
        <v>105</v>
      </c>
      <c r="J56" s="24">
        <v>0</v>
      </c>
      <c r="K56" s="21" t="s">
        <v>105</v>
      </c>
      <c r="L56" s="21">
        <f t="shared" si="21"/>
        <v>10</v>
      </c>
      <c r="M56" s="21">
        <f t="shared" si="22"/>
        <v>0.5</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25">
      <c r="A57" s="1">
        <v>2055</v>
      </c>
      <c r="B57" s="11" t="b">
        <v>1</v>
      </c>
      <c r="C57" s="11" t="b">
        <v>1</v>
      </c>
      <c r="D57" s="1" t="s">
        <v>337</v>
      </c>
      <c r="E57" s="5">
        <f t="shared" si="0"/>
        <v>0.02</v>
      </c>
      <c r="F57" s="24">
        <v>1</v>
      </c>
      <c r="G57" s="21" t="s">
        <v>105</v>
      </c>
      <c r="H57" s="21" t="s">
        <v>218</v>
      </c>
      <c r="I57" s="20" t="s">
        <v>105</v>
      </c>
      <c r="J57" s="24">
        <v>0</v>
      </c>
      <c r="K57" s="21" t="s">
        <v>105</v>
      </c>
      <c r="L57" s="21">
        <f>inp_scr_max</f>
        <v>30</v>
      </c>
      <c r="M57" s="21" t="str">
        <f>inp_xr_max</f>
        <v>Demand</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25">
      <c r="A58" s="1">
        <v>2056</v>
      </c>
      <c r="B58" s="117" t="b">
        <v>1</v>
      </c>
      <c r="C58" s="117" t="b">
        <v>1</v>
      </c>
      <c r="D58" s="118" t="s">
        <v>783</v>
      </c>
      <c r="E58" s="24">
        <f t="shared" si="4"/>
        <v>0.02</v>
      </c>
      <c r="F58" s="24">
        <v>1</v>
      </c>
      <c r="G58" s="21" t="s">
        <v>105</v>
      </c>
      <c r="H58" s="119" t="s">
        <v>218</v>
      </c>
      <c r="I58" s="120" t="s">
        <v>105</v>
      </c>
      <c r="J58" s="24">
        <f t="shared" si="5"/>
        <v>0.02</v>
      </c>
      <c r="K58" s="21" t="s">
        <v>105</v>
      </c>
      <c r="L58" s="119">
        <v>-1</v>
      </c>
      <c r="M58" s="119">
        <v>0</v>
      </c>
      <c r="N58" s="21" t="s">
        <v>105</v>
      </c>
      <c r="O58" s="121">
        <v>30</v>
      </c>
      <c r="P58" s="264" t="s">
        <v>108</v>
      </c>
      <c r="Q58" s="264">
        <v>0</v>
      </c>
      <c r="R58" s="264">
        <v>1.1499999999999999</v>
      </c>
      <c r="S58" s="264">
        <v>0</v>
      </c>
      <c r="T58" s="265" t="s">
        <v>108</v>
      </c>
      <c r="U58" s="24">
        <v>10</v>
      </c>
      <c r="V58" s="24">
        <v>1.2</v>
      </c>
      <c r="W58" s="24">
        <f>IF(sel_trec1&gt;sel_tclear,(sel_urec1-sel_uclear)/(sel_trec1-sel_tclear),0)</f>
        <v>0</v>
      </c>
      <c r="X58" s="264" t="s">
        <v>108</v>
      </c>
      <c r="Y58" s="264">
        <v>17</v>
      </c>
      <c r="Z58" s="264">
        <v>1.3</v>
      </c>
      <c r="AA58" s="264">
        <v>0</v>
      </c>
      <c r="AB58" s="24" t="s">
        <v>108</v>
      </c>
      <c r="AC58" s="24">
        <v>25</v>
      </c>
      <c r="AD58" s="24">
        <v>1</v>
      </c>
      <c r="AE58" s="24"/>
      <c r="AF58" s="264"/>
      <c r="AG58" s="264"/>
      <c r="AH58" s="264"/>
      <c r="AI58" s="264"/>
      <c r="AJ58" s="118"/>
      <c r="AK58" s="24"/>
      <c r="AL58" s="24"/>
      <c r="AM58" s="24"/>
      <c r="AN58" s="262"/>
      <c r="AO58" s="261"/>
      <c r="AP58" s="261"/>
      <c r="AQ58" s="261"/>
      <c r="AR58" s="118"/>
      <c r="AS58" s="24"/>
      <c r="AT58" s="24"/>
      <c r="AU58" s="24"/>
      <c r="AV58" s="262"/>
      <c r="AW58" s="261"/>
      <c r="AX58" s="261"/>
      <c r="AY58" s="261"/>
      <c r="AZ58" s="118"/>
      <c r="BA58" s="24"/>
      <c r="BB58" s="24"/>
      <c r="BC58" s="24"/>
      <c r="BD58" s="262"/>
      <c r="BE58" s="261"/>
      <c r="BF58" s="261"/>
      <c r="BG58" s="261"/>
      <c r="BH58" s="118"/>
      <c r="BI58" s="24"/>
      <c r="BJ58" s="24"/>
      <c r="BK58" s="24"/>
    </row>
    <row r="59" spans="1:63" x14ac:dyDescent="0.25">
      <c r="A59" s="1">
        <v>2057</v>
      </c>
      <c r="B59" s="117" t="b">
        <v>1</v>
      </c>
      <c r="C59" s="117" t="b">
        <v>1</v>
      </c>
      <c r="D59" s="118" t="s">
        <v>784</v>
      </c>
      <c r="E59" s="24">
        <f t="shared" si="4"/>
        <v>0.02</v>
      </c>
      <c r="F59" s="24">
        <v>1</v>
      </c>
      <c r="G59" s="21" t="s">
        <v>105</v>
      </c>
      <c r="H59" s="119" t="s">
        <v>218</v>
      </c>
      <c r="I59" s="120" t="s">
        <v>105</v>
      </c>
      <c r="J59" s="24">
        <f t="shared" si="5"/>
        <v>0.02</v>
      </c>
      <c r="K59" s="21" t="s">
        <v>105</v>
      </c>
      <c r="L59" s="119">
        <v>-1</v>
      </c>
      <c r="M59" s="119">
        <v>0</v>
      </c>
      <c r="N59" s="21" t="s">
        <v>105</v>
      </c>
      <c r="O59" s="121">
        <v>45</v>
      </c>
      <c r="P59" s="261" t="s">
        <v>108</v>
      </c>
      <c r="Q59" s="261">
        <v>0</v>
      </c>
      <c r="R59" s="261">
        <v>0.9</v>
      </c>
      <c r="S59" s="261"/>
      <c r="T59" s="265" t="s">
        <v>108</v>
      </c>
      <c r="U59" s="24">
        <v>10</v>
      </c>
      <c r="V59" s="24">
        <v>0.85</v>
      </c>
      <c r="W59" s="24"/>
      <c r="X59" s="261" t="s">
        <v>108</v>
      </c>
      <c r="Y59" s="261">
        <v>17</v>
      </c>
      <c r="Z59" s="261">
        <v>0.8</v>
      </c>
      <c r="AA59" s="261"/>
      <c r="AB59" s="24" t="s">
        <v>108</v>
      </c>
      <c r="AC59" s="119">
        <v>25</v>
      </c>
      <c r="AD59" s="24">
        <v>0.7</v>
      </c>
      <c r="AE59" s="24"/>
      <c r="AF59" s="261" t="s">
        <v>108</v>
      </c>
      <c r="AG59" s="261">
        <v>32</v>
      </c>
      <c r="AH59" s="261">
        <v>0.6</v>
      </c>
      <c r="AI59" s="261"/>
      <c r="AJ59" s="118" t="s">
        <v>108</v>
      </c>
      <c r="AK59" s="24">
        <v>37</v>
      </c>
      <c r="AL59" s="24">
        <v>1</v>
      </c>
      <c r="AM59" s="24"/>
      <c r="AN59" s="262"/>
      <c r="AO59" s="261"/>
      <c r="AP59" s="261"/>
      <c r="AQ59" s="261"/>
      <c r="AR59" s="118"/>
      <c r="AS59" s="24"/>
      <c r="AT59" s="24"/>
      <c r="AU59" s="24"/>
      <c r="AV59" s="262"/>
      <c r="AW59" s="261"/>
      <c r="AX59" s="261"/>
      <c r="AY59" s="261"/>
      <c r="AZ59" s="118"/>
      <c r="BA59" s="24"/>
      <c r="BB59" s="24"/>
      <c r="BC59" s="24"/>
      <c r="BD59" s="262"/>
      <c r="BE59" s="261"/>
      <c r="BF59" s="261"/>
      <c r="BG59" s="261"/>
      <c r="BH59" s="118"/>
      <c r="BI59" s="24"/>
      <c r="BJ59" s="24"/>
      <c r="BK59" s="24"/>
    </row>
    <row r="60" spans="1:63" x14ac:dyDescent="0.25">
      <c r="A60" s="1">
        <v>2058</v>
      </c>
      <c r="B60" s="11" t="b">
        <v>1</v>
      </c>
      <c r="C60" s="11" t="b">
        <v>1</v>
      </c>
      <c r="D60" s="1" t="s">
        <v>309</v>
      </c>
      <c r="E60" s="5">
        <v>1</v>
      </c>
      <c r="F60" s="24">
        <v>1</v>
      </c>
      <c r="G60" s="21" t="s">
        <v>105</v>
      </c>
      <c r="H60" s="21" t="s">
        <v>218</v>
      </c>
      <c r="I60" s="20" t="s">
        <v>105</v>
      </c>
      <c r="J60" s="24">
        <v>0</v>
      </c>
      <c r="K60" s="21" t="s">
        <v>105</v>
      </c>
      <c r="L60" s="21">
        <f t="shared" si="21"/>
        <v>10</v>
      </c>
      <c r="M60" s="21">
        <f t="shared" si="22"/>
        <v>0.5</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25">
      <c r="A61" s="1">
        <v>2059</v>
      </c>
      <c r="B61" s="11" t="b">
        <v>1</v>
      </c>
      <c r="C61" s="11" t="b">
        <v>1</v>
      </c>
      <c r="D61" s="1" t="s">
        <v>310</v>
      </c>
      <c r="E61" s="5">
        <v>1</v>
      </c>
      <c r="F61" s="24">
        <v>1</v>
      </c>
      <c r="G61" s="21" t="s">
        <v>105</v>
      </c>
      <c r="H61" s="21" t="s">
        <v>218</v>
      </c>
      <c r="I61" s="20" t="s">
        <v>105</v>
      </c>
      <c r="J61" s="24">
        <v>0</v>
      </c>
      <c r="K61" s="21" t="s">
        <v>105</v>
      </c>
      <c r="L61" s="21">
        <f t="shared" si="21"/>
        <v>10</v>
      </c>
      <c r="M61" s="21">
        <f t="shared" si="22"/>
        <v>0.5</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25">
      <c r="A62" s="1">
        <v>2060</v>
      </c>
      <c r="B62" s="11" t="b">
        <v>1</v>
      </c>
      <c r="C62" s="11" t="b">
        <v>1</v>
      </c>
      <c r="D62" s="1" t="s">
        <v>311</v>
      </c>
      <c r="E62" s="5">
        <v>1</v>
      </c>
      <c r="F62" s="24">
        <v>1</v>
      </c>
      <c r="G62" s="21" t="s">
        <v>105</v>
      </c>
      <c r="H62" s="21" t="s">
        <v>218</v>
      </c>
      <c r="I62" s="20" t="s">
        <v>105</v>
      </c>
      <c r="J62" s="24">
        <v>0</v>
      </c>
      <c r="K62" s="21" t="s">
        <v>105</v>
      </c>
      <c r="L62" s="21">
        <f t="shared" si="21"/>
        <v>10</v>
      </c>
      <c r="M62" s="21">
        <f t="shared" si="22"/>
        <v>0.5</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25">
      <c r="A63" s="1">
        <v>2061</v>
      </c>
      <c r="B63" s="11" t="b">
        <v>1</v>
      </c>
      <c r="C63" s="11" t="b">
        <v>1</v>
      </c>
      <c r="D63" s="1" t="s">
        <v>312</v>
      </c>
      <c r="E63" s="5">
        <v>1</v>
      </c>
      <c r="F63" s="24">
        <v>1</v>
      </c>
      <c r="G63" s="21" t="s">
        <v>105</v>
      </c>
      <c r="H63" s="21" t="s">
        <v>218</v>
      </c>
      <c r="I63" s="20" t="s">
        <v>105</v>
      </c>
      <c r="J63" s="24">
        <v>0</v>
      </c>
      <c r="K63" s="21" t="s">
        <v>105</v>
      </c>
      <c r="L63" s="21">
        <f t="shared" si="21"/>
        <v>10</v>
      </c>
      <c r="M63" s="21">
        <f t="shared" si="22"/>
        <v>0.5</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25">
      <c r="A64" s="1">
        <v>2062</v>
      </c>
      <c r="B64" s="11" t="b">
        <v>1</v>
      </c>
      <c r="C64" s="11" t="b">
        <v>1</v>
      </c>
      <c r="D64" s="1" t="s">
        <v>328</v>
      </c>
      <c r="E64" s="5">
        <v>1</v>
      </c>
      <c r="F64" s="24">
        <v>1</v>
      </c>
      <c r="G64" s="21" t="s">
        <v>105</v>
      </c>
      <c r="H64" s="21" t="s">
        <v>218</v>
      </c>
      <c r="I64" s="20" t="s">
        <v>105</v>
      </c>
      <c r="J64" s="24">
        <v>0</v>
      </c>
      <c r="K64" s="21" t="s">
        <v>105</v>
      </c>
      <c r="L64" s="21">
        <f t="shared" si="21"/>
        <v>10</v>
      </c>
      <c r="M64" s="21">
        <f t="shared" si="22"/>
        <v>0.5</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25">
      <c r="A65" s="1">
        <v>2063</v>
      </c>
      <c r="B65" s="11" t="b">
        <v>1</v>
      </c>
      <c r="C65" s="11" t="b">
        <v>1</v>
      </c>
      <c r="D65" s="1" t="s">
        <v>329</v>
      </c>
      <c r="E65" s="5">
        <v>1</v>
      </c>
      <c r="F65" s="24">
        <v>1</v>
      </c>
      <c r="G65" s="21" t="s">
        <v>105</v>
      </c>
      <c r="H65" s="21" t="s">
        <v>218</v>
      </c>
      <c r="I65" s="20" t="s">
        <v>105</v>
      </c>
      <c r="J65" s="24">
        <v>0</v>
      </c>
      <c r="K65" s="21" t="s">
        <v>105</v>
      </c>
      <c r="L65" s="21">
        <f>inp_scr_max</f>
        <v>30</v>
      </c>
      <c r="M65" s="21" t="str">
        <f>inp_xr_max</f>
        <v>Demand</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25">
      <c r="A66" s="1">
        <v>2064</v>
      </c>
      <c r="B66" s="117" t="b">
        <v>1</v>
      </c>
      <c r="C66" s="117" t="b">
        <v>1</v>
      </c>
      <c r="D66" s="118" t="s">
        <v>785</v>
      </c>
      <c r="E66" s="24">
        <v>1</v>
      </c>
      <c r="F66" s="24">
        <v>1</v>
      </c>
      <c r="G66" s="21" t="s">
        <v>105</v>
      </c>
      <c r="H66" s="119" t="s">
        <v>218</v>
      </c>
      <c r="I66" s="120" t="s">
        <v>105</v>
      </c>
      <c r="J66" s="24">
        <v>1</v>
      </c>
      <c r="K66" s="21" t="s">
        <v>105</v>
      </c>
      <c r="L66" s="119">
        <f t="shared" ref="L66" si="27">inp_scr_min</f>
        <v>10</v>
      </c>
      <c r="M66" s="119">
        <f t="shared" ref="M66" si="28">inp_xr_min</f>
        <v>0.5</v>
      </c>
      <c r="N66" s="21" t="s">
        <v>105</v>
      </c>
      <c r="O66" s="253">
        <v>20</v>
      </c>
      <c r="P66" s="262" t="s">
        <v>109</v>
      </c>
      <c r="Q66" s="261">
        <v>0</v>
      </c>
      <c r="R66" s="261">
        <v>-0.1</v>
      </c>
      <c r="S66" s="261">
        <v>0</v>
      </c>
      <c r="T66" s="265" t="s">
        <v>109</v>
      </c>
      <c r="U66" s="24">
        <f t="shared" ref="U66:U67" si="29">Q66+0.1</f>
        <v>0.1</v>
      </c>
      <c r="V66" s="24">
        <v>0</v>
      </c>
      <c r="W66" s="24"/>
      <c r="X66" s="262" t="s">
        <v>109</v>
      </c>
      <c r="Y66" s="261">
        <v>3</v>
      </c>
      <c r="Z66" s="261">
        <v>-0.15</v>
      </c>
      <c r="AA66" s="261"/>
      <c r="AB66" s="265" t="s">
        <v>109</v>
      </c>
      <c r="AC66" s="24">
        <f t="shared" ref="AC66:AC67" si="30">Y66+0.1</f>
        <v>3.1</v>
      </c>
      <c r="AD66" s="24">
        <v>0</v>
      </c>
      <c r="AE66" s="24"/>
      <c r="AF66" s="262" t="s">
        <v>109</v>
      </c>
      <c r="AG66" s="261">
        <v>6</v>
      </c>
      <c r="AH66" s="261">
        <v>-0.2</v>
      </c>
      <c r="AI66" s="261"/>
      <c r="AJ66" s="265" t="s">
        <v>109</v>
      </c>
      <c r="AK66" s="24">
        <f t="shared" ref="AK66:AK67" si="31">AG66+0.1</f>
        <v>6.1</v>
      </c>
      <c r="AL66" s="24">
        <v>0</v>
      </c>
      <c r="AM66" s="24"/>
      <c r="AN66" s="262" t="s">
        <v>109</v>
      </c>
      <c r="AO66" s="261">
        <v>9</v>
      </c>
      <c r="AP66" s="261">
        <v>-0.25</v>
      </c>
      <c r="AQ66" s="261"/>
      <c r="AR66" s="265" t="s">
        <v>109</v>
      </c>
      <c r="AS66" s="24">
        <f t="shared" ref="AS66:AS67" si="32">AO66+0.1</f>
        <v>9.1</v>
      </c>
      <c r="AT66" s="24">
        <v>0</v>
      </c>
      <c r="AU66" s="24"/>
      <c r="AV66" s="262" t="s">
        <v>109</v>
      </c>
      <c r="AW66" s="261">
        <v>12</v>
      </c>
      <c r="AX66" s="261">
        <v>-0.3</v>
      </c>
      <c r="AY66" s="261"/>
      <c r="AZ66" s="265" t="s">
        <v>109</v>
      </c>
      <c r="BA66" s="24">
        <f t="shared" ref="BA66:BA67" si="33">AW66+0.1</f>
        <v>12.1</v>
      </c>
      <c r="BB66" s="24">
        <v>0</v>
      </c>
      <c r="BC66" s="24"/>
      <c r="BD66" s="262"/>
      <c r="BE66" s="261"/>
      <c r="BF66" s="261"/>
      <c r="BG66" s="261"/>
      <c r="BH66" s="24"/>
      <c r="BI66" s="24"/>
      <c r="BJ66" s="24"/>
      <c r="BK66" s="266"/>
    </row>
    <row r="67" spans="1:63" x14ac:dyDescent="0.25">
      <c r="A67" s="1">
        <v>2065</v>
      </c>
      <c r="B67" s="117" t="b">
        <v>1</v>
      </c>
      <c r="C67" s="117" t="b">
        <v>1</v>
      </c>
      <c r="D67" s="118" t="s">
        <v>786</v>
      </c>
      <c r="E67" s="24">
        <v>1</v>
      </c>
      <c r="F67" s="24">
        <v>1</v>
      </c>
      <c r="G67" s="21" t="s">
        <v>105</v>
      </c>
      <c r="H67" s="119" t="s">
        <v>218</v>
      </c>
      <c r="I67" s="120" t="s">
        <v>105</v>
      </c>
      <c r="J67" s="24">
        <v>1</v>
      </c>
      <c r="K67" s="21" t="s">
        <v>105</v>
      </c>
      <c r="L67" s="119">
        <f>inp_scr_max</f>
        <v>30</v>
      </c>
      <c r="M67" s="119" t="str">
        <f>inp_xr_max</f>
        <v>Demand</v>
      </c>
      <c r="N67" s="21" t="s">
        <v>105</v>
      </c>
      <c r="O67" s="253">
        <v>20</v>
      </c>
      <c r="P67" s="262" t="s">
        <v>109</v>
      </c>
      <c r="Q67" s="261">
        <v>0</v>
      </c>
      <c r="R67" s="261">
        <v>-0.1</v>
      </c>
      <c r="S67" s="261">
        <v>0</v>
      </c>
      <c r="T67" s="265" t="s">
        <v>109</v>
      </c>
      <c r="U67" s="24">
        <f t="shared" si="29"/>
        <v>0.1</v>
      </c>
      <c r="V67" s="24">
        <v>0</v>
      </c>
      <c r="W67" s="24"/>
      <c r="X67" s="262" t="s">
        <v>109</v>
      </c>
      <c r="Y67" s="261">
        <v>3</v>
      </c>
      <c r="Z67" s="261">
        <v>-0.15</v>
      </c>
      <c r="AA67" s="261"/>
      <c r="AB67" s="265" t="s">
        <v>109</v>
      </c>
      <c r="AC67" s="24">
        <f t="shared" si="30"/>
        <v>3.1</v>
      </c>
      <c r="AD67" s="24">
        <v>0</v>
      </c>
      <c r="AE67" s="24"/>
      <c r="AF67" s="262" t="s">
        <v>109</v>
      </c>
      <c r="AG67" s="261">
        <v>6</v>
      </c>
      <c r="AH67" s="261">
        <v>-0.2</v>
      </c>
      <c r="AI67" s="261"/>
      <c r="AJ67" s="265" t="s">
        <v>109</v>
      </c>
      <c r="AK67" s="24">
        <f t="shared" si="31"/>
        <v>6.1</v>
      </c>
      <c r="AL67" s="24">
        <v>0</v>
      </c>
      <c r="AM67" s="24"/>
      <c r="AN67" s="262" t="s">
        <v>109</v>
      </c>
      <c r="AO67" s="261">
        <v>9</v>
      </c>
      <c r="AP67" s="261">
        <v>-0.25</v>
      </c>
      <c r="AQ67" s="261"/>
      <c r="AR67" s="265" t="s">
        <v>109</v>
      </c>
      <c r="AS67" s="24">
        <f t="shared" si="32"/>
        <v>9.1</v>
      </c>
      <c r="AT67" s="24">
        <v>0</v>
      </c>
      <c r="AU67" s="24"/>
      <c r="AV67" s="262" t="s">
        <v>109</v>
      </c>
      <c r="AW67" s="261">
        <v>12</v>
      </c>
      <c r="AX67" s="261">
        <v>-0.3</v>
      </c>
      <c r="AY67" s="261"/>
      <c r="AZ67" s="265" t="s">
        <v>109</v>
      </c>
      <c r="BA67" s="24">
        <f t="shared" si="33"/>
        <v>12.1</v>
      </c>
      <c r="BB67" s="24">
        <v>0</v>
      </c>
      <c r="BC67" s="24"/>
      <c r="BD67" s="262"/>
      <c r="BE67" s="261"/>
      <c r="BF67" s="261"/>
      <c r="BG67" s="261"/>
      <c r="BH67" s="24"/>
      <c r="BI67" s="24"/>
      <c r="BJ67" s="24"/>
      <c r="BK67" s="266"/>
    </row>
    <row r="68" spans="1:63" x14ac:dyDescent="0.25">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0.5</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25">
      <c r="A69" s="1">
        <v>2067</v>
      </c>
      <c r="B69" s="11" t="b">
        <v>1</v>
      </c>
      <c r="C69" s="11" t="b">
        <v>1</v>
      </c>
      <c r="D69" s="1" t="s">
        <v>354</v>
      </c>
      <c r="E69" s="5">
        <v>1</v>
      </c>
      <c r="F69" s="24">
        <v>1</v>
      </c>
      <c r="G69" s="21" t="s">
        <v>105</v>
      </c>
      <c r="H69" s="21" t="s">
        <v>218</v>
      </c>
      <c r="I69" s="20" t="s">
        <v>105</v>
      </c>
      <c r="J69" s="24">
        <v>0</v>
      </c>
      <c r="K69" s="21" t="s">
        <v>105</v>
      </c>
      <c r="L69" s="21">
        <f t="shared" si="34"/>
        <v>10</v>
      </c>
      <c r="M69" s="21">
        <f t="shared" si="35"/>
        <v>0.5</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25">
      <c r="A70" s="1">
        <v>2068</v>
      </c>
      <c r="B70" s="11" t="b">
        <v>1</v>
      </c>
      <c r="C70" s="11" t="b">
        <v>1</v>
      </c>
      <c r="D70" s="1" t="s">
        <v>335</v>
      </c>
      <c r="E70" s="5">
        <v>1</v>
      </c>
      <c r="F70" s="24">
        <v>1</v>
      </c>
      <c r="G70" s="21" t="s">
        <v>105</v>
      </c>
      <c r="H70" s="21" t="s">
        <v>218</v>
      </c>
      <c r="I70" s="20" t="s">
        <v>105</v>
      </c>
      <c r="J70" s="24">
        <v>0</v>
      </c>
      <c r="K70" s="21" t="s">
        <v>105</v>
      </c>
      <c r="L70" s="21">
        <f t="shared" si="21"/>
        <v>10</v>
      </c>
      <c r="M70" s="21">
        <f t="shared" si="22"/>
        <v>0.5</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25">
      <c r="A71" s="1">
        <v>2069</v>
      </c>
      <c r="B71" s="11" t="b">
        <v>1</v>
      </c>
      <c r="C71" s="11" t="b">
        <v>1</v>
      </c>
      <c r="D71" s="1" t="s">
        <v>331</v>
      </c>
      <c r="E71" s="5">
        <v>1</v>
      </c>
      <c r="F71" s="24">
        <v>1</v>
      </c>
      <c r="G71" s="21" t="s">
        <v>105</v>
      </c>
      <c r="H71" s="21" t="s">
        <v>218</v>
      </c>
      <c r="I71" s="20" t="s">
        <v>105</v>
      </c>
      <c r="J71" s="24">
        <v>0</v>
      </c>
      <c r="K71" s="21" t="s">
        <v>105</v>
      </c>
      <c r="L71" s="21">
        <f t="shared" si="21"/>
        <v>10</v>
      </c>
      <c r="M71" s="21">
        <f t="shared" si="22"/>
        <v>0.5</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25">
      <c r="A72" s="1">
        <v>2070</v>
      </c>
      <c r="B72" s="11" t="b">
        <v>1</v>
      </c>
      <c r="C72" s="11" t="b">
        <v>1</v>
      </c>
      <c r="D72" s="1" t="s">
        <v>332</v>
      </c>
      <c r="E72" s="5">
        <v>1</v>
      </c>
      <c r="F72" s="24">
        <v>1</v>
      </c>
      <c r="G72" s="21" t="s">
        <v>105</v>
      </c>
      <c r="H72" s="21" t="s">
        <v>218</v>
      </c>
      <c r="I72" s="20" t="s">
        <v>105</v>
      </c>
      <c r="J72" s="24">
        <v>0</v>
      </c>
      <c r="K72" s="21" t="s">
        <v>105</v>
      </c>
      <c r="L72" s="21">
        <f t="shared" si="21"/>
        <v>10</v>
      </c>
      <c r="M72" s="21">
        <f t="shared" si="22"/>
        <v>0.5</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25">
      <c r="A73" s="1">
        <v>2071</v>
      </c>
      <c r="B73" s="11" t="b">
        <v>1</v>
      </c>
      <c r="C73" s="11" t="b">
        <v>1</v>
      </c>
      <c r="D73" s="1" t="s">
        <v>334</v>
      </c>
      <c r="E73" s="5">
        <v>1</v>
      </c>
      <c r="F73" s="24">
        <v>1</v>
      </c>
      <c r="G73" s="21" t="s">
        <v>105</v>
      </c>
      <c r="H73" s="21" t="s">
        <v>218</v>
      </c>
      <c r="I73" s="20" t="s">
        <v>105</v>
      </c>
      <c r="J73" s="24">
        <v>0</v>
      </c>
      <c r="K73" s="21" t="s">
        <v>105</v>
      </c>
      <c r="L73" s="21">
        <f t="shared" si="21"/>
        <v>10</v>
      </c>
      <c r="M73" s="21">
        <f t="shared" si="22"/>
        <v>0.5</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25">
      <c r="A74" s="1">
        <v>2072</v>
      </c>
      <c r="B74" s="11" t="b">
        <v>1</v>
      </c>
      <c r="C74" s="11" t="b">
        <v>1</v>
      </c>
      <c r="D74" s="1" t="s">
        <v>333</v>
      </c>
      <c r="E74" s="5">
        <v>1</v>
      </c>
      <c r="F74" s="24">
        <v>1</v>
      </c>
      <c r="G74" s="21" t="s">
        <v>105</v>
      </c>
      <c r="H74" s="21" t="s">
        <v>218</v>
      </c>
      <c r="I74" s="20" t="s">
        <v>105</v>
      </c>
      <c r="J74" s="24">
        <v>0</v>
      </c>
      <c r="K74" s="21" t="s">
        <v>105</v>
      </c>
      <c r="L74" s="21">
        <f t="shared" si="21"/>
        <v>10</v>
      </c>
      <c r="M74" s="21">
        <f t="shared" si="22"/>
        <v>0.5</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25">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0.5</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25">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0.5</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25">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0.5</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25">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0.5</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25">
      <c r="A79" s="1">
        <v>2077</v>
      </c>
      <c r="B79" s="117" t="b">
        <v>0</v>
      </c>
      <c r="C79" s="117" t="b">
        <v>1</v>
      </c>
      <c r="D79" s="118" t="s">
        <v>330</v>
      </c>
      <c r="E79" s="24">
        <f t="shared" ref="E79" si="36">inp_Uc/inp_Un</f>
        <v>0.02</v>
      </c>
      <c r="F79" s="24">
        <v>1</v>
      </c>
      <c r="G79" s="21" t="s">
        <v>105</v>
      </c>
      <c r="H79" s="119" t="s">
        <v>218</v>
      </c>
      <c r="I79" s="120" t="s">
        <v>105</v>
      </c>
      <c r="J79" s="24">
        <f t="shared" ref="J79" si="37">IF(inp_default="Q(U)",E79,IF(inp_default="PF",1,0))</f>
        <v>0</v>
      </c>
      <c r="K79" s="21" t="s">
        <v>105</v>
      </c>
      <c r="L79" s="119">
        <f t="shared" si="21"/>
        <v>10</v>
      </c>
      <c r="M79" s="119">
        <f t="shared" si="22"/>
        <v>0.5</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xr:uid="{00000000-0009-0000-0000-000004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B70:C79 B54:C57 B60:C65 B46:C47 B19:C43 B50:C51 B3:C11</xm:sqref>
        </x14:dataValidation>
        <x14:dataValidation type="list" allowBlank="1" showInputMessage="1" showErrorMessage="1" xr:uid="{00000000-0002-0000-0400-000001000000}">
          <x14:formula1>
            <xm:f>datavalidation!$C$1:$C$8</xm:f>
          </x14:formula1>
          <xm:sqref>H70:H1048576 H3:H11 H60:H65 H46:H47 H19:H43 H50:H51 H54:H57</xm:sqref>
        </x14:dataValidation>
        <x14:dataValidation type="list" allowBlank="1" showInputMessage="1" showErrorMessage="1" xr:uid="{00000000-0002-0000-0400-000002000000}">
          <x14:formula1>
            <xm:f>datavalidation!$B$1:$B$8</xm:f>
          </x14:formula1>
          <xm:sqref>I70:I1048576 I3:I11 I60:I65 I46:I47 I19:I43 I50:I51 I54:I57</xm:sqref>
        </x14:dataValidation>
        <x14:dataValidation type="list" allowBlank="1" showInputMessage="1" showErrorMessage="1" xr:uid="{00000000-0002-0000-0400-000003000000}">
          <x14:formula1>
            <xm:f>'Event types'!$A$2:$A$282</xm:f>
          </x14:formula1>
          <xm:sqref>AB50 AF70:AF78 AB70:AB78 X70:X79 T70:T79 BH70:BH78 AN70:AN78 AR70:AR78 AV70:AV78 AZ70:AZ78 BD70:BD78 P70:P79 AJ70:AJ78 AF50 T50 AZ60:AZ65 AV60:AV65 AR60:AR65 AN60:AN65 BH60:BH65 T60:T65 X60:X65 AJ50 AB60:AB65 AF60:AF65 AJ60:AJ65 BD60:BD65 P50 AN54:AN57 P3:P11 T3:T11 BH3:BH11 AN3:AN11 AR3:AR11 AV3:AV11 AZ3:AZ11 BD3:BD11 AF3:AF11 AB3:AB11 X3:X11 AJ3:AJ11 AJ54:AJ57 AF54:AF57 AB54:AB57 X54:X57 T54:T57 AR54:AR57 AV54:AV57 AZ54:AZ57 BD54:BD57 BD46:BD47 P54:P57 P60:P65 AZ46:AZ47 AV46:AV47 AR46:AR47 AN46:AN47 BH46:BH47 P46:P47 AJ46:AJ47 T46:T47 AF46:AF47 AB46:AB47 X46:X47 X50 X19:X43 AB19:AB43 AF19:AF43 T19:T43 AJ19:AJ43 P19:P43 BH19:BH43 AN19:AN43 AR19:AR43 AV19:AV43 AZ19:AZ43 BD19:BD43 BD50:BD51 AZ50:AZ51 AV50:AV51 AR50:AR51 AN50:AN51 BH50:BH51 BH54:BH57</xm:sqref>
        </x14:dataValidation>
        <x14:dataValidation type="list" allowBlank="1" showInputMessage="1" showErrorMessage="1" xr:uid="{00000000-0002-0000-0400-000004000000}">
          <x14:formula1>
            <xm:f>'Event types'!$A$2:$A$949</xm:f>
          </x14:formula1>
          <xm:sqref>AF51 AB51 X51 P51 T51 P80:P1048576 AJ51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CW218"/>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10.7109375" style="1" customWidth="1"/>
    <col min="7" max="7" width="15.7109375" style="1" customWidth="1"/>
    <col min="8" max="8" width="10.7109375" style="1" customWidth="1"/>
    <col min="9" max="9" width="15.7109375" style="1" customWidth="1"/>
    <col min="10" max="10" width="10.7109375" style="1" customWidth="1"/>
    <col min="11" max="11" width="15.7109375" style="1" customWidth="1"/>
    <col min="12" max="12" width="10.7109375" style="1" customWidth="1"/>
    <col min="13" max="13" width="15.7109375" style="1" customWidth="1"/>
    <col min="14" max="14" width="11.28515625" style="1" bestFit="1" customWidth="1"/>
    <col min="15" max="15" width="11.5703125" style="1" bestFit="1" customWidth="1"/>
    <col min="16" max="16" width="10.140625" style="1" bestFit="1" customWidth="1"/>
    <col min="17" max="17" width="14" style="1" bestFit="1" customWidth="1"/>
    <col min="18" max="18" width="9.42578125" style="1" customWidth="1"/>
    <col min="19" max="19" width="8.42578125" style="1" bestFit="1" customWidth="1"/>
    <col min="20" max="20" width="14.7109375" style="1" bestFit="1" customWidth="1"/>
    <col min="21" max="21" width="20.7109375" style="1" customWidth="1"/>
    <col min="22" max="22" width="22.85546875" style="96" bestFit="1" customWidth="1"/>
    <col min="23" max="23" width="9.7109375" style="96" bestFit="1" customWidth="1"/>
    <col min="24" max="24" width="35" style="96" bestFit="1" customWidth="1"/>
    <col min="25" max="25" width="16.5703125" style="96" bestFit="1" customWidth="1"/>
    <col min="26" max="26" width="17.5703125" style="1" bestFit="1" customWidth="1"/>
    <col min="27" max="27" width="9.7109375" style="1" bestFit="1" customWidth="1"/>
    <col min="28" max="28" width="25" style="1" bestFit="1" customWidth="1"/>
    <col min="29" max="29" width="16.5703125" style="1" customWidth="1"/>
    <col min="30" max="30" width="12" style="96" bestFit="1" customWidth="1"/>
    <col min="31" max="31" width="9.7109375" style="96" bestFit="1" customWidth="1"/>
    <col min="32" max="32" width="12.42578125" style="96" bestFit="1" customWidth="1"/>
    <col min="33" max="33" width="16.5703125" style="96" bestFit="1" customWidth="1"/>
    <col min="34" max="34" width="12" style="1" bestFit="1" customWidth="1"/>
    <col min="35" max="35" width="9.7109375" style="1" bestFit="1" customWidth="1"/>
    <col min="36" max="36" width="12.42578125" style="1" bestFit="1" customWidth="1"/>
    <col min="37" max="37" width="16.5703125" style="1" bestFit="1" customWidth="1"/>
    <col min="38" max="38" width="12" style="96" bestFit="1" customWidth="1"/>
    <col min="39" max="39" width="9.7109375" style="96" bestFit="1" customWidth="1"/>
    <col min="40" max="40" width="12.42578125" style="96" bestFit="1" customWidth="1"/>
    <col min="41" max="41" width="16.5703125" style="96" bestFit="1" customWidth="1"/>
    <col min="42" max="42" width="12" style="1" bestFit="1" customWidth="1"/>
    <col min="43" max="43" width="9.7109375" style="1" bestFit="1" customWidth="1"/>
    <col min="44" max="44" width="12.42578125" style="1" bestFit="1" customWidth="1"/>
    <col min="45" max="45" width="16.5703125" style="1" bestFit="1" customWidth="1"/>
    <col min="46" max="46" width="10.7109375" style="96" bestFit="1" customWidth="1"/>
    <col min="47" max="47" width="9.7109375" style="96" bestFit="1" customWidth="1"/>
    <col min="48" max="48" width="12.42578125" style="96" bestFit="1" customWidth="1"/>
    <col min="49" max="49" width="16.5703125" style="96" bestFit="1" customWidth="1"/>
    <col min="50" max="50" width="11.28515625" style="1" customWidth="1"/>
    <col min="51" max="51" width="9.7109375" style="1" bestFit="1" customWidth="1"/>
    <col min="52" max="52" width="12.42578125" style="1" bestFit="1" customWidth="1"/>
    <col min="53" max="53" width="16.5703125" style="1" bestFit="1" customWidth="1"/>
    <col min="54" max="54" width="12.42578125" style="96" customWidth="1"/>
    <col min="55" max="55" width="9.7109375" style="96" bestFit="1" customWidth="1"/>
    <col min="56" max="56" width="12.42578125" style="96" bestFit="1" customWidth="1"/>
    <col min="57" max="57" width="16.5703125" style="96" bestFit="1" customWidth="1"/>
    <col min="58" max="58" width="12.5703125" style="1" customWidth="1"/>
    <col min="59" max="59" width="9.7109375" style="1" bestFit="1" customWidth="1"/>
    <col min="60" max="60" width="12.42578125" style="1" bestFit="1" customWidth="1"/>
    <col min="61" max="61" width="16.5703125" style="1" bestFit="1" customWidth="1"/>
    <col min="62" max="62" width="12.85546875" style="96" customWidth="1"/>
    <col min="63" max="63" width="9.7109375" style="96" bestFit="1" customWidth="1"/>
    <col min="64" max="64" width="12.42578125" style="96" bestFit="1" customWidth="1"/>
    <col min="65" max="65" width="16.5703125" style="96" bestFit="1" customWidth="1"/>
    <col min="66" max="66" width="13" style="1" customWidth="1"/>
    <col min="67" max="67" width="9.7109375" style="1" bestFit="1" customWidth="1"/>
    <col min="68" max="68" width="12.42578125" style="1" bestFit="1" customWidth="1"/>
    <col min="69" max="69" width="16.5703125" style="68" bestFit="1" customWidth="1"/>
    <col min="70" max="70" width="12.85546875" style="96" customWidth="1"/>
    <col min="71" max="71" width="9.7109375" style="96" bestFit="1" customWidth="1"/>
    <col min="72" max="72" width="12.42578125" style="96" bestFit="1" customWidth="1"/>
    <col min="73" max="73" width="16.5703125" style="96" bestFit="1" customWidth="1"/>
    <col min="74" max="16384" width="9.140625" style="1"/>
  </cols>
  <sheetData>
    <row r="1" spans="1:73" x14ac:dyDescent="0.25">
      <c r="A1" s="389" t="s">
        <v>492</v>
      </c>
      <c r="B1" s="389"/>
      <c r="C1" s="389"/>
      <c r="D1" s="389"/>
      <c r="E1" s="390" t="s">
        <v>493</v>
      </c>
      <c r="F1" s="391"/>
      <c r="G1" s="391"/>
      <c r="H1" s="391"/>
      <c r="I1" s="391"/>
      <c r="J1" s="391"/>
      <c r="K1" s="391"/>
      <c r="L1" s="391"/>
      <c r="M1" s="391"/>
      <c r="N1" s="391"/>
      <c r="O1" s="391"/>
      <c r="P1" s="391"/>
      <c r="Q1" s="391"/>
      <c r="R1" s="391"/>
      <c r="S1" s="391"/>
      <c r="T1" s="391"/>
      <c r="U1" s="392"/>
      <c r="V1" s="388" t="s">
        <v>77</v>
      </c>
      <c r="W1" s="388"/>
      <c r="X1" s="388"/>
      <c r="Y1" s="388"/>
      <c r="Z1" s="389" t="s">
        <v>78</v>
      </c>
      <c r="AA1" s="389"/>
      <c r="AB1" s="389"/>
      <c r="AC1" s="389"/>
      <c r="AD1" s="388" t="s">
        <v>79</v>
      </c>
      <c r="AE1" s="388"/>
      <c r="AF1" s="388"/>
      <c r="AG1" s="388"/>
      <c r="AH1" s="389" t="s">
        <v>80</v>
      </c>
      <c r="AI1" s="389"/>
      <c r="AJ1" s="389"/>
      <c r="AK1" s="389"/>
      <c r="AL1" s="388" t="s">
        <v>81</v>
      </c>
      <c r="AM1" s="388"/>
      <c r="AN1" s="388"/>
      <c r="AO1" s="388"/>
      <c r="AP1" s="389" t="s">
        <v>82</v>
      </c>
      <c r="AQ1" s="389"/>
      <c r="AR1" s="389"/>
      <c r="AS1" s="389"/>
      <c r="AT1" s="388" t="s">
        <v>83</v>
      </c>
      <c r="AU1" s="388"/>
      <c r="AV1" s="388"/>
      <c r="AW1" s="388"/>
      <c r="AX1" s="389" t="s">
        <v>84</v>
      </c>
      <c r="AY1" s="389"/>
      <c r="AZ1" s="389"/>
      <c r="BA1" s="389"/>
      <c r="BB1" s="388" t="s">
        <v>85</v>
      </c>
      <c r="BC1" s="388"/>
      <c r="BD1" s="388"/>
      <c r="BE1" s="388"/>
      <c r="BF1" s="389" t="s">
        <v>86</v>
      </c>
      <c r="BG1" s="389"/>
      <c r="BH1" s="389"/>
      <c r="BI1" s="389"/>
      <c r="BJ1" s="388" t="s">
        <v>87</v>
      </c>
      <c r="BK1" s="388"/>
      <c r="BL1" s="388"/>
      <c r="BM1" s="388"/>
      <c r="BN1" s="389" t="s">
        <v>88</v>
      </c>
      <c r="BO1" s="389"/>
      <c r="BP1" s="389"/>
      <c r="BQ1" s="389"/>
      <c r="BR1" s="388" t="s">
        <v>497</v>
      </c>
      <c r="BS1" s="388"/>
      <c r="BT1" s="388"/>
      <c r="BU1" s="388"/>
    </row>
    <row r="2" spans="1:73" s="11" customFormat="1" ht="30" customHeight="1" x14ac:dyDescent="0.25">
      <c r="A2" s="9" t="s">
        <v>89</v>
      </c>
      <c r="B2" s="10" t="s">
        <v>90</v>
      </c>
      <c r="C2" s="10" t="s">
        <v>91</v>
      </c>
      <c r="D2" s="11" t="s">
        <v>92</v>
      </c>
      <c r="E2" s="12" t="s">
        <v>93</v>
      </c>
      <c r="F2" s="379" t="s">
        <v>893</v>
      </c>
      <c r="G2" s="377" t="s">
        <v>894</v>
      </c>
      <c r="H2" s="376" t="s">
        <v>895</v>
      </c>
      <c r="I2" s="377" t="s">
        <v>896</v>
      </c>
      <c r="J2" s="376" t="s">
        <v>897</v>
      </c>
      <c r="K2" s="377" t="s">
        <v>898</v>
      </c>
      <c r="L2" s="376" t="s">
        <v>899</v>
      </c>
      <c r="M2" s="378" t="s">
        <v>900</v>
      </c>
      <c r="N2" s="12" t="s">
        <v>225</v>
      </c>
      <c r="O2" s="12" t="s">
        <v>96</v>
      </c>
      <c r="P2" s="12" t="s">
        <v>97</v>
      </c>
      <c r="Q2" s="380" t="s">
        <v>547</v>
      </c>
      <c r="R2" s="12" t="s">
        <v>98</v>
      </c>
      <c r="S2" s="12" t="s">
        <v>99</v>
      </c>
      <c r="T2" s="12" t="s">
        <v>731</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25">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25">
      <c r="A4" s="118"/>
      <c r="B4" s="410"/>
      <c r="C4" s="410"/>
      <c r="D4" s="410"/>
      <c r="E4" s="410"/>
      <c r="F4" s="410"/>
      <c r="G4" s="410"/>
      <c r="H4" s="410"/>
      <c r="I4" s="410"/>
      <c r="J4" s="410"/>
      <c r="K4" s="410"/>
      <c r="L4" s="410"/>
      <c r="M4" s="410"/>
      <c r="N4" s="410"/>
      <c r="O4" s="410"/>
      <c r="P4" s="410"/>
      <c r="Q4" s="410"/>
      <c r="R4" s="410"/>
      <c r="S4" s="410"/>
      <c r="T4" s="410"/>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25">
      <c r="A5" s="118"/>
      <c r="B5" s="410"/>
      <c r="C5" s="410"/>
      <c r="D5" s="410"/>
      <c r="E5" s="410"/>
      <c r="F5" s="410"/>
      <c r="G5" s="410"/>
      <c r="H5" s="410"/>
      <c r="I5" s="410"/>
      <c r="J5" s="410"/>
      <c r="K5" s="410"/>
      <c r="L5" s="410"/>
      <c r="M5" s="410"/>
      <c r="N5" s="410"/>
      <c r="O5" s="410"/>
      <c r="P5" s="410"/>
      <c r="Q5" s="410"/>
      <c r="R5" s="410"/>
      <c r="S5" s="410"/>
      <c r="T5" s="410"/>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25">
      <c r="A6" s="118"/>
      <c r="B6" s="410"/>
      <c r="C6" s="410"/>
      <c r="D6" s="410"/>
      <c r="E6" s="410"/>
      <c r="F6" s="410"/>
      <c r="G6" s="410"/>
      <c r="H6" s="410"/>
      <c r="I6" s="410"/>
      <c r="J6" s="410"/>
      <c r="K6" s="410"/>
      <c r="L6" s="410"/>
      <c r="M6" s="410"/>
      <c r="N6" s="410"/>
      <c r="O6" s="410"/>
      <c r="P6" s="410"/>
      <c r="Q6" s="410"/>
      <c r="R6" s="410"/>
      <c r="S6" s="410"/>
      <c r="T6" s="410"/>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25">
      <c r="A7" s="118"/>
      <c r="B7" s="410"/>
      <c r="C7" s="410"/>
      <c r="D7" s="410"/>
      <c r="E7" s="410"/>
      <c r="F7" s="410"/>
      <c r="G7" s="410"/>
      <c r="H7" s="410"/>
      <c r="I7" s="410"/>
      <c r="J7" s="410"/>
      <c r="K7" s="410"/>
      <c r="L7" s="410"/>
      <c r="M7" s="410"/>
      <c r="N7" s="410"/>
      <c r="O7" s="410"/>
      <c r="P7" s="410"/>
      <c r="Q7" s="410"/>
      <c r="R7" s="410"/>
      <c r="S7" s="410"/>
      <c r="T7" s="410"/>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25">
      <c r="A8" s="118"/>
      <c r="B8" s="410"/>
      <c r="C8" s="410"/>
      <c r="D8" s="410"/>
      <c r="E8" s="410"/>
      <c r="F8" s="410"/>
      <c r="G8" s="410"/>
      <c r="H8" s="410"/>
      <c r="I8" s="410"/>
      <c r="J8" s="410"/>
      <c r="K8" s="410"/>
      <c r="L8" s="410"/>
      <c r="M8" s="410"/>
      <c r="N8" s="410"/>
      <c r="O8" s="410"/>
      <c r="P8" s="410"/>
      <c r="Q8" s="410"/>
      <c r="R8" s="410"/>
      <c r="S8" s="410"/>
      <c r="T8" s="410"/>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25">
      <c r="A9" s="118"/>
      <c r="B9" s="410"/>
      <c r="C9" s="410"/>
      <c r="D9" s="410"/>
      <c r="E9" s="410"/>
      <c r="F9" s="410"/>
      <c r="G9" s="410"/>
      <c r="H9" s="410"/>
      <c r="I9" s="410"/>
      <c r="J9" s="410"/>
      <c r="K9" s="410"/>
      <c r="L9" s="410"/>
      <c r="M9" s="410"/>
      <c r="N9" s="410"/>
      <c r="O9" s="410"/>
      <c r="P9" s="410"/>
      <c r="Q9" s="410"/>
      <c r="R9" s="410"/>
      <c r="S9" s="410"/>
      <c r="T9" s="410"/>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25">
      <c r="A10" s="118"/>
      <c r="B10" s="117"/>
      <c r="C10" s="117"/>
      <c r="D10" s="118"/>
      <c r="E10" s="24"/>
      <c r="F10" s="119"/>
      <c r="G10" s="119"/>
      <c r="H10" s="119"/>
      <c r="I10" s="119"/>
      <c r="J10" s="119"/>
      <c r="K10" s="119"/>
      <c r="L10" s="119"/>
      <c r="M10" s="119"/>
      <c r="N10" s="119"/>
      <c r="O10" s="120"/>
      <c r="P10" s="24"/>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25">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25">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25">
      <c r="A13" s="118"/>
      <c r="B13" s="117"/>
      <c r="C13" s="117"/>
      <c r="D13" s="118"/>
      <c r="E13" s="24"/>
      <c r="F13" s="24"/>
      <c r="G13" s="24"/>
      <c r="H13" s="24"/>
      <c r="I13" s="24"/>
      <c r="J13" s="24"/>
      <c r="K13" s="24"/>
      <c r="L13" s="24"/>
      <c r="M13" s="24"/>
      <c r="N13" s="119"/>
      <c r="O13" s="120"/>
      <c r="P13" s="24"/>
      <c r="Q13" s="24"/>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25">
      <c r="A14" s="118"/>
      <c r="B14" s="117"/>
      <c r="C14" s="117"/>
      <c r="D14" s="118"/>
      <c r="E14" s="24"/>
      <c r="F14" s="24"/>
      <c r="G14" s="24"/>
      <c r="H14" s="24"/>
      <c r="I14" s="24"/>
      <c r="J14" s="24"/>
      <c r="K14" s="24"/>
      <c r="L14" s="24"/>
      <c r="M14" s="24"/>
      <c r="N14" s="119"/>
      <c r="O14" s="120"/>
      <c r="P14" s="24"/>
      <c r="Q14" s="24"/>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25">
      <c r="A15" s="118"/>
      <c r="B15" s="117"/>
      <c r="C15" s="117"/>
      <c r="D15" s="118"/>
      <c r="E15" s="24"/>
      <c r="F15" s="24"/>
      <c r="G15" s="24"/>
      <c r="H15" s="24"/>
      <c r="I15" s="24"/>
      <c r="J15" s="24"/>
      <c r="K15" s="24"/>
      <c r="L15" s="24"/>
      <c r="M15" s="24"/>
      <c r="N15" s="119"/>
      <c r="O15" s="120"/>
      <c r="P15" s="24"/>
      <c r="Q15" s="24"/>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25">
      <c r="A16" s="118"/>
      <c r="B16" s="117"/>
      <c r="C16" s="117"/>
      <c r="D16" s="118"/>
      <c r="E16" s="24"/>
      <c r="F16" s="24"/>
      <c r="G16" s="24"/>
      <c r="H16" s="24"/>
      <c r="I16" s="24"/>
      <c r="J16" s="24"/>
      <c r="K16" s="24"/>
      <c r="L16" s="24"/>
      <c r="M16" s="24"/>
      <c r="N16" s="119"/>
      <c r="O16" s="120"/>
      <c r="P16" s="24"/>
      <c r="Q16" s="24"/>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25">
      <c r="A17" s="118"/>
      <c r="B17" s="117"/>
      <c r="C17" s="117"/>
      <c r="D17" s="118"/>
      <c r="E17" s="24"/>
      <c r="F17" s="24"/>
      <c r="G17" s="24"/>
      <c r="H17" s="24"/>
      <c r="I17" s="24"/>
      <c r="J17" s="24"/>
      <c r="K17" s="24"/>
      <c r="L17" s="24"/>
      <c r="M17" s="24"/>
      <c r="N17" s="119"/>
      <c r="O17" s="120"/>
      <c r="P17" s="24"/>
      <c r="Q17" s="24"/>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25">
      <c r="A18" s="118"/>
      <c r="B18" s="117"/>
      <c r="C18" s="411"/>
      <c r="D18" s="118"/>
      <c r="E18" s="24"/>
      <c r="F18" s="24"/>
      <c r="G18" s="24"/>
      <c r="H18" s="24"/>
      <c r="I18" s="24"/>
      <c r="J18" s="24"/>
      <c r="K18" s="24"/>
      <c r="L18" s="24"/>
      <c r="M18" s="24"/>
      <c r="N18" s="119"/>
      <c r="O18" s="120"/>
      <c r="P18" s="24"/>
      <c r="Q18" s="24"/>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25">
      <c r="A19" s="118"/>
      <c r="B19" s="117"/>
      <c r="C19" s="117"/>
      <c r="D19" s="118"/>
      <c r="E19" s="24"/>
      <c r="F19" s="24"/>
      <c r="G19" s="24"/>
      <c r="H19" s="24"/>
      <c r="I19" s="24"/>
      <c r="J19" s="24"/>
      <c r="K19" s="24"/>
      <c r="L19" s="24"/>
      <c r="M19" s="24"/>
      <c r="N19" s="120"/>
      <c r="O19" s="120"/>
      <c r="P19" s="24"/>
      <c r="Q19" s="24"/>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25">
      <c r="A20" s="118"/>
      <c r="B20" s="117"/>
      <c r="C20" s="117"/>
      <c r="D20" s="118"/>
      <c r="E20" s="24"/>
      <c r="F20" s="24"/>
      <c r="G20" s="24"/>
      <c r="H20" s="24"/>
      <c r="I20" s="24"/>
      <c r="J20" s="24"/>
      <c r="K20" s="24"/>
      <c r="L20" s="24"/>
      <c r="M20" s="24"/>
      <c r="N20" s="120"/>
      <c r="O20" s="120"/>
      <c r="P20" s="24"/>
      <c r="Q20" s="24"/>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25">
      <c r="A21" s="118"/>
      <c r="B21" s="117"/>
      <c r="C21" s="117"/>
      <c r="D21" s="118"/>
      <c r="E21" s="24"/>
      <c r="F21" s="24"/>
      <c r="G21" s="24"/>
      <c r="H21" s="24"/>
      <c r="I21" s="24"/>
      <c r="J21" s="24"/>
      <c r="K21" s="24"/>
      <c r="L21" s="24"/>
      <c r="M21" s="24"/>
      <c r="N21" s="119"/>
      <c r="O21" s="120"/>
      <c r="P21" s="24"/>
      <c r="Q21" s="24"/>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25">
      <c r="A22" s="118"/>
      <c r="B22" s="117"/>
      <c r="C22" s="117"/>
      <c r="D22" s="118"/>
      <c r="E22" s="24"/>
      <c r="F22" s="24"/>
      <c r="G22" s="24"/>
      <c r="H22" s="24"/>
      <c r="I22" s="24"/>
      <c r="J22" s="24"/>
      <c r="K22" s="24"/>
      <c r="L22" s="24"/>
      <c r="M22" s="24"/>
      <c r="N22" s="119"/>
      <c r="O22" s="120"/>
      <c r="P22" s="24"/>
      <c r="Q22" s="24"/>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25">
      <c r="A23" s="118"/>
      <c r="B23" s="117"/>
      <c r="C23" s="117"/>
      <c r="D23" s="118"/>
      <c r="E23" s="24"/>
      <c r="F23" s="24"/>
      <c r="G23" s="24"/>
      <c r="H23" s="24"/>
      <c r="I23" s="24"/>
      <c r="J23" s="24"/>
      <c r="K23" s="24"/>
      <c r="L23" s="24"/>
      <c r="M23" s="24"/>
      <c r="N23" s="119"/>
      <c r="O23" s="120"/>
      <c r="P23" s="24"/>
      <c r="Q23" s="24"/>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25">
      <c r="A24" s="118"/>
      <c r="B24" s="117"/>
      <c r="C24" s="117"/>
      <c r="D24" s="118"/>
      <c r="E24" s="24"/>
      <c r="F24" s="24"/>
      <c r="G24" s="24"/>
      <c r="H24" s="24"/>
      <c r="I24" s="24"/>
      <c r="J24" s="24"/>
      <c r="K24" s="24"/>
      <c r="L24" s="24"/>
      <c r="M24" s="24"/>
      <c r="N24" s="120"/>
      <c r="O24" s="120"/>
      <c r="P24" s="24"/>
      <c r="Q24" s="24"/>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25">
      <c r="A25" s="118"/>
      <c r="B25" s="117"/>
      <c r="C25" s="117"/>
      <c r="D25" s="118"/>
      <c r="E25" s="24"/>
      <c r="F25" s="24"/>
      <c r="G25" s="24"/>
      <c r="H25" s="24"/>
      <c r="I25" s="24"/>
      <c r="J25" s="24"/>
      <c r="K25" s="24"/>
      <c r="L25" s="24"/>
      <c r="M25" s="24"/>
      <c r="N25" s="120"/>
      <c r="O25" s="120"/>
      <c r="P25" s="24"/>
      <c r="Q25" s="24"/>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25">
      <c r="A26" s="118"/>
      <c r="B26" s="117"/>
      <c r="C26" s="117"/>
      <c r="D26" s="118"/>
      <c r="E26" s="24"/>
      <c r="F26" s="24"/>
      <c r="G26" s="24"/>
      <c r="H26" s="24"/>
      <c r="I26" s="24"/>
      <c r="J26" s="24"/>
      <c r="K26" s="24"/>
      <c r="L26" s="24"/>
      <c r="M26" s="24"/>
      <c r="N26" s="120"/>
      <c r="O26" s="120"/>
      <c r="P26" s="24"/>
      <c r="Q26" s="24"/>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25">
      <c r="A27" s="118"/>
      <c r="B27" s="117"/>
      <c r="C27" s="117"/>
      <c r="D27" s="118"/>
      <c r="E27" s="24"/>
      <c r="F27" s="24"/>
      <c r="G27" s="24"/>
      <c r="H27" s="24"/>
      <c r="I27" s="24"/>
      <c r="J27" s="24"/>
      <c r="K27" s="24"/>
      <c r="L27" s="24"/>
      <c r="M27" s="24"/>
      <c r="N27" s="120"/>
      <c r="O27" s="120"/>
      <c r="P27" s="24"/>
      <c r="Q27" s="24"/>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25">
      <c r="A28" s="118"/>
      <c r="B28" s="117"/>
      <c r="C28" s="117"/>
      <c r="D28" s="118"/>
      <c r="E28" s="24"/>
      <c r="F28" s="24"/>
      <c r="G28" s="24"/>
      <c r="H28" s="24"/>
      <c r="I28" s="24"/>
      <c r="J28" s="24"/>
      <c r="K28" s="24"/>
      <c r="L28" s="24"/>
      <c r="M28" s="24"/>
      <c r="N28" s="119"/>
      <c r="O28" s="120"/>
      <c r="P28" s="24"/>
      <c r="Q28" s="24"/>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25">
      <c r="A29" s="118"/>
      <c r="B29" s="117"/>
      <c r="C29" s="117"/>
      <c r="D29" s="118"/>
      <c r="E29" s="24"/>
      <c r="F29" s="24"/>
      <c r="G29" s="24"/>
      <c r="H29" s="24"/>
      <c r="I29" s="24"/>
      <c r="J29" s="24"/>
      <c r="K29" s="24"/>
      <c r="L29" s="24"/>
      <c r="M29" s="24"/>
      <c r="N29" s="119"/>
      <c r="O29" s="120"/>
      <c r="P29" s="24"/>
      <c r="Q29" s="24"/>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25">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25">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25">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25">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25">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412"/>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25">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25">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412"/>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25">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25">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412"/>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25">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25">
      <c r="A40" s="118"/>
      <c r="B40" s="117"/>
      <c r="C40" s="411"/>
      <c r="D40" s="118"/>
      <c r="E40" s="24"/>
      <c r="F40" s="24"/>
      <c r="G40" s="24"/>
      <c r="H40" s="24"/>
      <c r="I40" s="24"/>
      <c r="J40" s="24"/>
      <c r="K40" s="24"/>
      <c r="L40" s="24"/>
      <c r="M40" s="24"/>
      <c r="N40" s="119"/>
      <c r="O40" s="120"/>
      <c r="P40" s="24"/>
      <c r="Q40" s="24"/>
      <c r="R40" s="119"/>
      <c r="S40" s="119"/>
      <c r="T40" s="119"/>
      <c r="U40" s="253"/>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25">
      <c r="A41" s="118"/>
      <c r="B41" s="117"/>
      <c r="C41" s="117"/>
      <c r="D41" s="118"/>
      <c r="E41" s="24"/>
      <c r="F41" s="24"/>
      <c r="G41" s="24"/>
      <c r="H41" s="24"/>
      <c r="I41" s="24"/>
      <c r="J41" s="24"/>
      <c r="K41" s="24"/>
      <c r="L41" s="24"/>
      <c r="M41" s="24"/>
      <c r="N41" s="119"/>
      <c r="O41" s="120"/>
      <c r="P41" s="24"/>
      <c r="Q41" s="24"/>
      <c r="R41" s="119"/>
      <c r="S41" s="119"/>
      <c r="T41" s="119"/>
      <c r="U41" s="253"/>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25">
      <c r="A42" s="118"/>
      <c r="B42" s="117"/>
      <c r="C42" s="411"/>
      <c r="D42" s="118"/>
      <c r="E42" s="24"/>
      <c r="F42" s="24"/>
      <c r="G42" s="24"/>
      <c r="H42" s="24"/>
      <c r="I42" s="24"/>
      <c r="J42" s="24"/>
      <c r="K42" s="24"/>
      <c r="L42" s="24"/>
      <c r="M42" s="24"/>
      <c r="N42" s="119"/>
      <c r="O42" s="120"/>
      <c r="P42" s="24"/>
      <c r="Q42" s="24"/>
      <c r="R42" s="119"/>
      <c r="S42" s="119"/>
      <c r="T42" s="119"/>
      <c r="U42" s="253"/>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25">
      <c r="A43" s="118"/>
      <c r="B43" s="117"/>
      <c r="C43" s="117"/>
      <c r="D43" s="118"/>
      <c r="E43" s="24"/>
      <c r="F43" s="24"/>
      <c r="G43" s="24"/>
      <c r="H43" s="24"/>
      <c r="I43" s="24"/>
      <c r="J43" s="24"/>
      <c r="K43" s="24"/>
      <c r="L43" s="24"/>
      <c r="M43" s="24"/>
      <c r="N43" s="119"/>
      <c r="O43" s="120"/>
      <c r="P43" s="24"/>
      <c r="Q43" s="24"/>
      <c r="R43" s="119"/>
      <c r="S43" s="119"/>
      <c r="T43" s="119"/>
      <c r="U43" s="253"/>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25">
      <c r="A44" s="118"/>
      <c r="B44" s="117"/>
      <c r="C44" s="117"/>
      <c r="D44" s="118"/>
      <c r="E44" s="24"/>
      <c r="F44" s="24"/>
      <c r="G44" s="24"/>
      <c r="H44" s="24"/>
      <c r="I44" s="24"/>
      <c r="J44" s="24"/>
      <c r="K44" s="24"/>
      <c r="L44" s="24"/>
      <c r="M44" s="24"/>
      <c r="N44" s="119"/>
      <c r="O44" s="120"/>
      <c r="P44" s="24"/>
      <c r="Q44" s="24"/>
      <c r="R44" s="119"/>
      <c r="S44" s="119"/>
      <c r="T44" s="119"/>
      <c r="U44" s="253"/>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25">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25">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25">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25">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25">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25">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25">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25">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25">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412"/>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25">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412"/>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25">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25">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25">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25">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25">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25">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25">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25">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25">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25">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25">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25">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25">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25">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25">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25">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25">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25">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25">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25">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25">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25">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25">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25">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25">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25">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25">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25">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25">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25">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25">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25">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25">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25">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25">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25">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25">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25">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25">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25">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25">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25">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25">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25">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25">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25">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25">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25">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25">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25">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25">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25">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25">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25">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25">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25">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25">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25">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25">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25">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25">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25">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25">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25">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25">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25">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25">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25">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25">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25">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25">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25">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25">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25">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25">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25">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25">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25">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25">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25">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25">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25">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25">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25">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25">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25">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25">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25">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25">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25">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25">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25">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25">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25">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25">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25">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25">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25">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25">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25">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25">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25">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25">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25">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25">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25">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25">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25">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25">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25">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25">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25">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25">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25">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25">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25">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25">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25">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25">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25">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25">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25">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25">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25">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25">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25">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25">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25">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25">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25">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25">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25">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25">
      <c r="U187" s="6"/>
      <c r="AJ187" s="5"/>
      <c r="AK187" s="5"/>
      <c r="AN187" s="88"/>
      <c r="AO187" s="88"/>
    </row>
    <row r="188" spans="1:73" x14ac:dyDescent="0.25">
      <c r="U188" s="6"/>
      <c r="AN188" s="88"/>
      <c r="AO188" s="88"/>
    </row>
    <row r="189" spans="1:73" x14ac:dyDescent="0.25">
      <c r="U189" s="6"/>
      <c r="AN189" s="88"/>
      <c r="AO189" s="88"/>
    </row>
    <row r="190" spans="1:73" x14ac:dyDescent="0.25">
      <c r="U190" s="6"/>
      <c r="AN190" s="88"/>
      <c r="AO190" s="88"/>
    </row>
    <row r="191" spans="1:73" x14ac:dyDescent="0.25">
      <c r="U191" s="6"/>
      <c r="AN191" s="88"/>
      <c r="AO191" s="88"/>
    </row>
    <row r="192" spans="1:73" x14ac:dyDescent="0.25">
      <c r="U192" s="6"/>
      <c r="AN192" s="88"/>
      <c r="AO192" s="88"/>
    </row>
    <row r="193" spans="21:21" x14ac:dyDescent="0.25">
      <c r="U193" s="6"/>
    </row>
    <row r="194" spans="21:21" x14ac:dyDescent="0.25">
      <c r="U194" s="6"/>
    </row>
    <row r="195" spans="21:21" x14ac:dyDescent="0.25">
      <c r="U195" s="6"/>
    </row>
    <row r="196" spans="21:21" x14ac:dyDescent="0.25">
      <c r="U196" s="6"/>
    </row>
    <row r="197" spans="21:21" x14ac:dyDescent="0.25">
      <c r="U197" s="6"/>
    </row>
    <row r="198" spans="21:21" x14ac:dyDescent="0.25">
      <c r="U198" s="6"/>
    </row>
    <row r="199" spans="21:21" x14ac:dyDescent="0.25">
      <c r="U199" s="6"/>
    </row>
    <row r="200" spans="21:21" x14ac:dyDescent="0.25">
      <c r="U200" s="6"/>
    </row>
    <row r="201" spans="21:21" x14ac:dyDescent="0.25">
      <c r="U201" s="6"/>
    </row>
    <row r="202" spans="21:21" x14ac:dyDescent="0.25">
      <c r="U202" s="6"/>
    </row>
    <row r="203" spans="21:21" x14ac:dyDescent="0.25">
      <c r="U203" s="6"/>
    </row>
    <row r="204" spans="21:21" x14ac:dyDescent="0.25">
      <c r="U204" s="6"/>
    </row>
    <row r="205" spans="21:21" x14ac:dyDescent="0.25">
      <c r="U205" s="6"/>
    </row>
    <row r="206" spans="21:21" x14ac:dyDescent="0.25">
      <c r="U206" s="6"/>
    </row>
    <row r="207" spans="21:21" x14ac:dyDescent="0.25">
      <c r="U207" s="6"/>
    </row>
    <row r="208" spans="21:21" x14ac:dyDescent="0.25">
      <c r="U208" s="6"/>
    </row>
    <row r="209" spans="21:21" x14ac:dyDescent="0.25">
      <c r="U209" s="6"/>
    </row>
    <row r="210" spans="21:21" x14ac:dyDescent="0.25">
      <c r="U210" s="6"/>
    </row>
    <row r="211" spans="21:21" x14ac:dyDescent="0.25">
      <c r="U211" s="6"/>
    </row>
    <row r="212" spans="21:21" x14ac:dyDescent="0.25">
      <c r="U212" s="6"/>
    </row>
    <row r="213" spans="21:21" x14ac:dyDescent="0.25">
      <c r="U213" s="6"/>
    </row>
    <row r="214" spans="21:21" x14ac:dyDescent="0.25">
      <c r="U214" s="6"/>
    </row>
    <row r="215" spans="21:21" x14ac:dyDescent="0.25">
      <c r="U215" s="6"/>
    </row>
    <row r="216" spans="21:21" x14ac:dyDescent="0.25">
      <c r="U216" s="6"/>
    </row>
    <row r="217" spans="21:21" x14ac:dyDescent="0.25">
      <c r="U217" s="6"/>
    </row>
    <row r="218" spans="21:21" x14ac:dyDescent="0.25">
      <c r="U218" s="6"/>
    </row>
  </sheetData>
  <autoFilter ref="A2:BQ178" xr:uid="{00000000-0009-0000-0000-000005000000}"/>
  <mergeCells count="15">
    <mergeCell ref="AH1:AK1"/>
    <mergeCell ref="A1:D1"/>
    <mergeCell ref="E1:U1"/>
    <mergeCell ref="V1:Y1"/>
    <mergeCell ref="Z1:AC1"/>
    <mergeCell ref="AD1:AG1"/>
    <mergeCell ref="BJ1:BM1"/>
    <mergeCell ref="BN1:BQ1"/>
    <mergeCell ref="BR1:BU1"/>
    <mergeCell ref="AL1:AO1"/>
    <mergeCell ref="AP1:AS1"/>
    <mergeCell ref="AT1:AW1"/>
    <mergeCell ref="AX1:BA1"/>
    <mergeCell ref="BB1:BE1"/>
    <mergeCell ref="BF1:BI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500-000000000000}">
          <x14:formula1>
            <xm:f>'Event types'!$A$2:$A$102</xm:f>
          </x14:formula1>
          <xm:sqref>Z178:Z186 Z70 AD111 Z152:Z163 V3:V1048576</xm:sqref>
        </x14:dataValidation>
        <x14:dataValidation type="list" allowBlank="1" showInputMessage="1" showErrorMessage="1" xr:uid="{00000000-0002-0000-0500-000001000000}">
          <x14:formula1>
            <xm:f>'Event types'!$A$2:$A$110</xm:f>
          </x14:formula1>
          <xm:sqref>Z183:Z196 BF152:BF196 AX152:AX195 BJ152:BJ197 AT152:AT194 BB152:BB195 AL152:AL197 AP152:AP195 BN152:BN197 AH152:AH197 AD152:AD197 Z164:Z177 Z156:Z161 BR152:BR197</xm:sqref>
        </x14:dataValidation>
        <x14:dataValidation type="list" allowBlank="1" showInputMessage="1" showErrorMessage="1" xr:uid="{00000000-0002-0000-0500-000002000000}">
          <x14:formula1>
            <xm:f>'Event types'!$A$2:$A$282</xm:f>
          </x14:formula1>
          <xm:sqref>Z43:Z44 AD43:AD44 AH43:AH44 Z28:Z29 AD28:AD29 BJ43 Z96 AD96 AH96 AL96 AT43:AT44 BB43 AL43:AL44 BN110:BN151 AP110:AP151 AT110:AT151 BB110:BB151 AL110:AL151 AX110:AX151 Z138:Z151 BF110:BF151 AD110 Z110:Z135 BJ110:BJ151 AD112:AD151 AD98:AD105 AH98:AH105 AX96:AX105 AL98:AL105 BB96:BB105 AT96:AT105 AP96:AP105 BN96:BN105 BF96:BF105 BJ96:BJ105 Z98:Z105 AH110:AH151 BR43 BR110:BR151 BR96:BR105</xm:sqref>
        </x14:dataValidation>
        <x14:dataValidation type="list" allowBlank="1" showInputMessage="1" showErrorMessage="1" xr:uid="{00000000-0002-0000-0500-000003000000}">
          <x14:formula1>
            <xm:f>'Event types'!$A$2:$A$949</xm:f>
          </x14:formula1>
          <xm:sqref>Z38 Z197:Z216 Z36 Z97 AL97 AH97 AD97 BJ3:BJ39 AL3:AL38 AP3:AP38 AT3:AT38 AH3:AH38 AD30:AD38 Z30:Z34 BB3:BB42 AD3:AD27 Z3:Z27 Z136:Z137 AL40:AL42 AD40:AD42 Z40:Z42 AH40:AH42 AX3:AX95 BN3:BN95 BF3:BF95 BJ44:BJ95 BB44:BB95 Z71:Z95 AP40:AP95 AT45:AT95 BR44:BR95 BR3:BR39 AH45:AH95 Z45:Z69 AD45:AD95 AL45:AL95 AX106:AX109 Z106:Z109 BN106:BN109 BR107:BR108 AP106:AP109 BB106:BB109 AD106:AD109 AH106:AH109 AL106:AL109 BF106:BF109</xm:sqref>
        </x14:dataValidation>
        <x14:dataValidation type="list" allowBlank="1" showInputMessage="1" showErrorMessage="1" xr:uid="{00000000-0002-0000-0500-000004000000}">
          <x14:formula1>
            <xm:f>datavalidation!$B$1:$B$8</xm:f>
          </x14:formula1>
          <xm:sqref>O3 O10:O1048576</xm:sqref>
        </x14:dataValidation>
        <x14:dataValidation type="list" allowBlank="1" showInputMessage="1" showErrorMessage="1" xr:uid="{00000000-0002-0000-0500-000005000000}">
          <x14:formula1>
            <xm:f>datavalidation!$C$1:$C$8</xm:f>
          </x14:formula1>
          <xm:sqref>N3 N10:N1048576</xm:sqref>
        </x14:dataValidation>
        <x14:dataValidation type="list" allowBlank="1" showInputMessage="1" showErrorMessage="1" xr:uid="{00000000-0002-0000-0500-000006000000}">
          <x14:formula1>
            <xm:f>datavalidation!$E$1:$E$2</xm:f>
          </x14:formula1>
          <xm:sqref>B10:C186 B3:C3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47C"/>
  </sheetPr>
  <dimension ref="A1:BK186"/>
  <sheetViews>
    <sheetView zoomScaleNormal="100" workbookViewId="0">
      <pane ySplit="2" topLeftCell="A3" activePane="bottomLeft" state="frozen"/>
      <selection pane="bottomLeft" sqref="A1:D1"/>
    </sheetView>
  </sheetViews>
  <sheetFormatPr defaultColWidth="9.140625" defaultRowHeight="15" x14ac:dyDescent="0.25"/>
  <cols>
    <col min="1" max="1" width="12.7109375" style="1" customWidth="1"/>
    <col min="2" max="3" width="12.7109375" style="11" customWidth="1"/>
    <col min="4" max="4" width="51.140625" style="1" bestFit="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4.140625" style="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389" t="s">
        <v>492</v>
      </c>
      <c r="B1" s="389"/>
      <c r="C1" s="389"/>
      <c r="D1" s="389"/>
      <c r="E1" s="390" t="s">
        <v>493</v>
      </c>
      <c r="F1" s="391"/>
      <c r="G1" s="391"/>
      <c r="H1" s="391"/>
      <c r="I1" s="391"/>
      <c r="J1" s="391"/>
      <c r="K1" s="391"/>
      <c r="L1" s="391"/>
      <c r="M1" s="391"/>
      <c r="N1" s="391"/>
      <c r="O1" s="392"/>
      <c r="P1" s="399" t="s">
        <v>77</v>
      </c>
      <c r="Q1" s="399"/>
      <c r="R1" s="399"/>
      <c r="S1" s="399"/>
      <c r="T1" s="390" t="s">
        <v>78</v>
      </c>
      <c r="U1" s="391"/>
      <c r="V1" s="391"/>
      <c r="W1" s="391"/>
      <c r="X1" s="399" t="s">
        <v>79</v>
      </c>
      <c r="Y1" s="399"/>
      <c r="Z1" s="399"/>
      <c r="AA1" s="399"/>
      <c r="AB1" s="390" t="s">
        <v>80</v>
      </c>
      <c r="AC1" s="391"/>
      <c r="AD1" s="391"/>
      <c r="AE1" s="391"/>
      <c r="AF1" s="399" t="s">
        <v>81</v>
      </c>
      <c r="AG1" s="399"/>
      <c r="AH1" s="399"/>
      <c r="AI1" s="399"/>
      <c r="AJ1" s="390" t="s">
        <v>82</v>
      </c>
      <c r="AK1" s="391"/>
      <c r="AL1" s="391"/>
      <c r="AM1" s="391"/>
      <c r="AN1" s="399" t="s">
        <v>83</v>
      </c>
      <c r="AO1" s="399"/>
      <c r="AP1" s="399"/>
      <c r="AQ1" s="399"/>
      <c r="AR1" s="390" t="s">
        <v>84</v>
      </c>
      <c r="AS1" s="391"/>
      <c r="AT1" s="391"/>
      <c r="AU1" s="391"/>
      <c r="AV1" s="399" t="s">
        <v>85</v>
      </c>
      <c r="AW1" s="399"/>
      <c r="AX1" s="399"/>
      <c r="AY1" s="399"/>
      <c r="AZ1" s="390" t="s">
        <v>86</v>
      </c>
      <c r="BA1" s="391"/>
      <c r="BB1" s="391"/>
      <c r="BC1" s="391"/>
      <c r="BD1" s="399" t="s">
        <v>87</v>
      </c>
      <c r="BE1" s="399"/>
      <c r="BF1" s="399"/>
      <c r="BG1" s="399"/>
      <c r="BH1" s="390" t="s">
        <v>88</v>
      </c>
      <c r="BI1" s="391"/>
      <c r="BJ1" s="391"/>
      <c r="BK1" s="391"/>
    </row>
    <row r="2" spans="1:63" s="11" customFormat="1" ht="30" customHeight="1" x14ac:dyDescent="0.25">
      <c r="A2" s="9" t="s">
        <v>89</v>
      </c>
      <c r="B2" s="10" t="s">
        <v>90</v>
      </c>
      <c r="C2" s="10" t="s">
        <v>91</v>
      </c>
      <c r="D2" s="11" t="s">
        <v>92</v>
      </c>
      <c r="E2" s="12" t="s">
        <v>93</v>
      </c>
      <c r="F2" s="12" t="s">
        <v>94</v>
      </c>
      <c r="G2" s="12" t="s">
        <v>551</v>
      </c>
      <c r="H2" s="12" t="s">
        <v>225</v>
      </c>
      <c r="I2" s="12" t="s">
        <v>96</v>
      </c>
      <c r="J2" s="12" t="s">
        <v>97</v>
      </c>
      <c r="K2" s="12" t="s">
        <v>547</v>
      </c>
      <c r="L2" s="12" t="s">
        <v>98</v>
      </c>
      <c r="M2" s="12" t="s">
        <v>99</v>
      </c>
      <c r="N2" s="12" t="s">
        <v>731</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4001</v>
      </c>
      <c r="B3" s="11" t="b">
        <v>1</v>
      </c>
      <c r="C3" s="11" t="b">
        <v>1</v>
      </c>
      <c r="D3" s="118" t="s">
        <v>495</v>
      </c>
      <c r="E3" s="5">
        <f>sel_lvfrt_start+0.01</f>
        <v>0.86</v>
      </c>
      <c r="F3" s="5">
        <v>1</v>
      </c>
      <c r="G3" s="5" t="s">
        <v>105</v>
      </c>
      <c r="H3" s="1" t="s">
        <v>219</v>
      </c>
      <c r="I3" s="1" t="s">
        <v>21</v>
      </c>
      <c r="J3" s="5">
        <v>0.33</v>
      </c>
      <c r="K3" s="5" t="s">
        <v>105</v>
      </c>
      <c r="L3" s="21">
        <f t="shared" ref="L3:L55" si="0">inp_scr_min</f>
        <v>10</v>
      </c>
      <c r="M3" s="21">
        <f t="shared" ref="M3:M55" si="1">inp_xr_min</f>
        <v>0.5</v>
      </c>
      <c r="N3" s="21" t="s">
        <v>105</v>
      </c>
      <c r="O3" s="5">
        <v>12</v>
      </c>
      <c r="P3" s="88" t="s">
        <v>120</v>
      </c>
      <c r="Q3" s="17">
        <v>0</v>
      </c>
    </row>
    <row r="4" spans="1:63" x14ac:dyDescent="0.25">
      <c r="A4" s="1">
        <v>4002</v>
      </c>
      <c r="B4" s="11" t="b">
        <v>1</v>
      </c>
      <c r="C4" s="11" t="b">
        <v>1</v>
      </c>
      <c r="D4" s="118" t="str">
        <f>"Custom_RfG_Fault_3_FRTtrig_"&amp;SUBSTITUTE(TEXT(R4,"0,00"),",",".")&amp;"pu"</f>
        <v>Custom_RfG_Fault_3_FRTtrig_0.87pu</v>
      </c>
      <c r="E4" s="5">
        <f t="shared" ref="E4:E38" si="2">inp_Uc/inp_Un</f>
        <v>0.02</v>
      </c>
      <c r="F4" s="5">
        <v>1</v>
      </c>
      <c r="G4" s="5" t="s">
        <v>105</v>
      </c>
      <c r="H4" s="5" t="s">
        <v>219</v>
      </c>
      <c r="I4" s="5" t="s">
        <v>105</v>
      </c>
      <c r="J4" s="5">
        <v>0</v>
      </c>
      <c r="K4" s="5" t="s">
        <v>105</v>
      </c>
      <c r="L4" s="21">
        <f t="shared" si="0"/>
        <v>10</v>
      </c>
      <c r="M4" s="21">
        <f t="shared" si="1"/>
        <v>0.5</v>
      </c>
      <c r="N4" s="21" t="s">
        <v>105</v>
      </c>
      <c r="O4" s="5">
        <v>12</v>
      </c>
      <c r="P4" s="18" t="s">
        <v>115</v>
      </c>
      <c r="Q4" s="17">
        <v>0</v>
      </c>
      <c r="R4" s="71">
        <f>R6+2%</f>
        <v>0.87</v>
      </c>
      <c r="S4" s="17">
        <v>1</v>
      </c>
    </row>
    <row r="5" spans="1:63" x14ac:dyDescent="0.25">
      <c r="A5" s="1">
        <v>4003</v>
      </c>
      <c r="B5" s="11" t="b">
        <v>1</v>
      </c>
      <c r="C5" s="11" t="b">
        <v>1</v>
      </c>
      <c r="D5" s="118" t="str">
        <f t="shared" ref="D5:D13" si="3">"Custom_RfG_Fault_3_FRTtrig_"&amp;SUBSTITUTE(TEXT(R5,"0,00"),",",".")&amp;"pu"</f>
        <v>Custom_RfG_Fault_3_FRTtrig_0.86pu</v>
      </c>
      <c r="E5" s="5">
        <f t="shared" si="2"/>
        <v>0.02</v>
      </c>
      <c r="F5" s="5">
        <v>1</v>
      </c>
      <c r="G5" s="5" t="s">
        <v>105</v>
      </c>
      <c r="H5" s="5" t="s">
        <v>219</v>
      </c>
      <c r="I5" s="5" t="s">
        <v>105</v>
      </c>
      <c r="J5" s="5">
        <v>0</v>
      </c>
      <c r="K5" s="5" t="s">
        <v>105</v>
      </c>
      <c r="L5" s="21">
        <f t="shared" si="0"/>
        <v>10</v>
      </c>
      <c r="M5" s="21">
        <f t="shared" si="1"/>
        <v>0.5</v>
      </c>
      <c r="N5" s="21" t="s">
        <v>105</v>
      </c>
      <c r="O5" s="5">
        <v>12</v>
      </c>
      <c r="P5" s="18" t="s">
        <v>115</v>
      </c>
      <c r="Q5" s="17">
        <v>0</v>
      </c>
      <c r="R5" s="71">
        <f>R6+1%</f>
        <v>0.86</v>
      </c>
      <c r="S5" s="17">
        <v>1</v>
      </c>
    </row>
    <row r="6" spans="1:63" x14ac:dyDescent="0.25">
      <c r="A6" s="1">
        <v>4004</v>
      </c>
      <c r="B6" s="11" t="b">
        <v>1</v>
      </c>
      <c r="C6" s="11" t="b">
        <v>1</v>
      </c>
      <c r="D6" s="118" t="str">
        <f t="shared" si="3"/>
        <v>Custom_RfG_Fault_3_FRTtrig_0.85pu</v>
      </c>
      <c r="E6" s="5">
        <f t="shared" si="2"/>
        <v>0.02</v>
      </c>
      <c r="F6" s="5">
        <v>1</v>
      </c>
      <c r="G6" s="5" t="s">
        <v>105</v>
      </c>
      <c r="H6" s="5" t="s">
        <v>219</v>
      </c>
      <c r="I6" s="5" t="s">
        <v>105</v>
      </c>
      <c r="J6" s="5">
        <v>0</v>
      </c>
      <c r="K6" s="5" t="s">
        <v>105</v>
      </c>
      <c r="L6" s="21">
        <f t="shared" si="0"/>
        <v>10</v>
      </c>
      <c r="M6" s="21">
        <f t="shared" si="1"/>
        <v>0.5</v>
      </c>
      <c r="N6" s="21" t="s">
        <v>105</v>
      </c>
      <c r="O6" s="5">
        <v>12</v>
      </c>
      <c r="P6" s="18" t="s">
        <v>115</v>
      </c>
      <c r="Q6" s="17">
        <v>0</v>
      </c>
      <c r="R6" s="198">
        <f>sel_lvfrt_start</f>
        <v>0.85</v>
      </c>
      <c r="S6" s="17">
        <v>1</v>
      </c>
    </row>
    <row r="7" spans="1:63" x14ac:dyDescent="0.25">
      <c r="A7" s="1">
        <v>4005</v>
      </c>
      <c r="B7" s="11" t="b">
        <v>1</v>
      </c>
      <c r="C7" s="11" t="b">
        <v>1</v>
      </c>
      <c r="D7" s="118" t="str">
        <f t="shared" si="3"/>
        <v>Custom_RfG_Fault_3_FRTtrig_0.84pu</v>
      </c>
      <c r="E7" s="5">
        <f t="shared" si="2"/>
        <v>0.02</v>
      </c>
      <c r="F7" s="5">
        <v>1</v>
      </c>
      <c r="G7" s="5" t="s">
        <v>105</v>
      </c>
      <c r="H7" s="5" t="s">
        <v>219</v>
      </c>
      <c r="I7" s="5" t="s">
        <v>105</v>
      </c>
      <c r="J7" s="5">
        <v>0</v>
      </c>
      <c r="K7" s="5" t="s">
        <v>105</v>
      </c>
      <c r="L7" s="21">
        <f t="shared" si="0"/>
        <v>10</v>
      </c>
      <c r="M7" s="21">
        <f t="shared" si="1"/>
        <v>0.5</v>
      </c>
      <c r="N7" s="21" t="s">
        <v>105</v>
      </c>
      <c r="O7" s="5">
        <v>12</v>
      </c>
      <c r="P7" s="18" t="s">
        <v>115</v>
      </c>
      <c r="Q7" s="17">
        <v>0</v>
      </c>
      <c r="R7" s="71">
        <f>R6-1%</f>
        <v>0.84</v>
      </c>
      <c r="S7" s="17">
        <v>1</v>
      </c>
    </row>
    <row r="8" spans="1:63" x14ac:dyDescent="0.25">
      <c r="A8" s="1">
        <v>4006</v>
      </c>
      <c r="B8" s="11" t="b">
        <v>1</v>
      </c>
      <c r="C8" s="11" t="b">
        <v>1</v>
      </c>
      <c r="D8" s="118" t="str">
        <f t="shared" si="3"/>
        <v>Custom_RfG_Fault_3_FRTtrig_0.83pu</v>
      </c>
      <c r="E8" s="5">
        <f t="shared" si="2"/>
        <v>0.02</v>
      </c>
      <c r="F8" s="5">
        <v>1</v>
      </c>
      <c r="G8" s="5" t="s">
        <v>105</v>
      </c>
      <c r="H8" s="5" t="s">
        <v>219</v>
      </c>
      <c r="I8" s="5" t="s">
        <v>105</v>
      </c>
      <c r="J8" s="5">
        <v>0</v>
      </c>
      <c r="K8" s="5" t="s">
        <v>105</v>
      </c>
      <c r="L8" s="21">
        <f t="shared" si="0"/>
        <v>10</v>
      </c>
      <c r="M8" s="21">
        <f t="shared" si="1"/>
        <v>0.5</v>
      </c>
      <c r="N8" s="21" t="s">
        <v>105</v>
      </c>
      <c r="O8" s="5">
        <v>12</v>
      </c>
      <c r="P8" s="18" t="s">
        <v>115</v>
      </c>
      <c r="Q8" s="17">
        <v>0</v>
      </c>
      <c r="R8" s="71">
        <f>R6-2%</f>
        <v>0.83</v>
      </c>
      <c r="S8" s="17">
        <v>1</v>
      </c>
    </row>
    <row r="9" spans="1:63" x14ac:dyDescent="0.25">
      <c r="A9" s="1">
        <v>4007</v>
      </c>
      <c r="B9" s="11" t="b">
        <v>1</v>
      </c>
      <c r="C9" s="11" t="b">
        <v>1</v>
      </c>
      <c r="D9" s="118" t="str">
        <f t="shared" si="3"/>
        <v>Custom_RfG_Fault_3_FRTtrig_0.82pu</v>
      </c>
      <c r="E9" s="5">
        <f t="shared" si="2"/>
        <v>0.02</v>
      </c>
      <c r="F9" s="5">
        <v>1</v>
      </c>
      <c r="G9" s="5" t="s">
        <v>105</v>
      </c>
      <c r="H9" s="5" t="s">
        <v>219</v>
      </c>
      <c r="I9" s="5" t="s">
        <v>105</v>
      </c>
      <c r="J9" s="5">
        <v>0</v>
      </c>
      <c r="K9" s="5" t="s">
        <v>105</v>
      </c>
      <c r="L9" s="21">
        <f t="shared" si="0"/>
        <v>10</v>
      </c>
      <c r="M9" s="21">
        <f t="shared" si="1"/>
        <v>0.5</v>
      </c>
      <c r="N9" s="21" t="s">
        <v>105</v>
      </c>
      <c r="O9" s="5">
        <v>12</v>
      </c>
      <c r="P9" s="18" t="s">
        <v>115</v>
      </c>
      <c r="Q9" s="17">
        <v>0</v>
      </c>
      <c r="R9" s="71">
        <f>R6-3%</f>
        <v>0.82</v>
      </c>
      <c r="S9" s="17">
        <v>1</v>
      </c>
    </row>
    <row r="10" spans="1:63" x14ac:dyDescent="0.25">
      <c r="A10" s="1">
        <v>4008</v>
      </c>
      <c r="B10" s="11" t="b">
        <v>1</v>
      </c>
      <c r="C10" s="11" t="b">
        <v>1</v>
      </c>
      <c r="D10" s="118" t="str">
        <f t="shared" si="3"/>
        <v>Custom_RfG_Fault_3_FRTtrig_0.81pu</v>
      </c>
      <c r="E10" s="5">
        <f t="shared" si="2"/>
        <v>0.02</v>
      </c>
      <c r="F10" s="5">
        <v>1</v>
      </c>
      <c r="G10" s="5" t="s">
        <v>105</v>
      </c>
      <c r="H10" s="5" t="s">
        <v>219</v>
      </c>
      <c r="I10" s="5" t="s">
        <v>105</v>
      </c>
      <c r="J10" s="5">
        <v>0</v>
      </c>
      <c r="K10" s="5" t="s">
        <v>105</v>
      </c>
      <c r="L10" s="21">
        <f t="shared" si="0"/>
        <v>10</v>
      </c>
      <c r="M10" s="21">
        <f t="shared" si="1"/>
        <v>0.5</v>
      </c>
      <c r="N10" s="21" t="s">
        <v>105</v>
      </c>
      <c r="O10" s="5">
        <v>12</v>
      </c>
      <c r="P10" s="18" t="s">
        <v>115</v>
      </c>
      <c r="Q10" s="17">
        <v>0</v>
      </c>
      <c r="R10" s="71">
        <f>R6-4%</f>
        <v>0.80999999999999994</v>
      </c>
      <c r="S10" s="17">
        <v>1</v>
      </c>
    </row>
    <row r="11" spans="1:63" x14ac:dyDescent="0.25">
      <c r="A11" s="1">
        <v>4009</v>
      </c>
      <c r="B11" s="11" t="b">
        <v>1</v>
      </c>
      <c r="C11" s="11" t="b">
        <v>1</v>
      </c>
      <c r="D11" s="118" t="str">
        <f t="shared" si="3"/>
        <v>Custom_RfG_Fault_3_FRTtrig_0.80pu</v>
      </c>
      <c r="E11" s="5">
        <f t="shared" si="2"/>
        <v>0.02</v>
      </c>
      <c r="F11" s="5">
        <v>1</v>
      </c>
      <c r="G11" s="5" t="s">
        <v>105</v>
      </c>
      <c r="H11" s="5" t="s">
        <v>219</v>
      </c>
      <c r="I11" s="5" t="s">
        <v>105</v>
      </c>
      <c r="J11" s="5">
        <v>0</v>
      </c>
      <c r="K11" s="5" t="s">
        <v>105</v>
      </c>
      <c r="L11" s="21">
        <f t="shared" si="0"/>
        <v>10</v>
      </c>
      <c r="M11" s="21">
        <f t="shared" si="1"/>
        <v>0.5</v>
      </c>
      <c r="N11" s="21" t="s">
        <v>105</v>
      </c>
      <c r="O11" s="5">
        <v>12</v>
      </c>
      <c r="P11" s="18" t="s">
        <v>115</v>
      </c>
      <c r="Q11" s="17">
        <v>0</v>
      </c>
      <c r="R11" s="71">
        <f>R6-5%</f>
        <v>0.79999999999999993</v>
      </c>
      <c r="S11" s="17">
        <v>1</v>
      </c>
    </row>
    <row r="12" spans="1:63" x14ac:dyDescent="0.25">
      <c r="A12" s="1">
        <v>4010</v>
      </c>
      <c r="B12" s="11" t="b">
        <v>1</v>
      </c>
      <c r="C12" s="11" t="b">
        <v>1</v>
      </c>
      <c r="D12" s="118" t="str">
        <f t="shared" si="3"/>
        <v>Custom_RfG_Fault_3_FRTtrig_0.79pu</v>
      </c>
      <c r="E12" s="5">
        <f t="shared" si="2"/>
        <v>0.02</v>
      </c>
      <c r="F12" s="5">
        <v>1</v>
      </c>
      <c r="G12" s="5" t="s">
        <v>105</v>
      </c>
      <c r="H12" s="5" t="s">
        <v>219</v>
      </c>
      <c r="I12" s="5" t="s">
        <v>105</v>
      </c>
      <c r="J12" s="5">
        <v>0</v>
      </c>
      <c r="K12" s="5" t="s">
        <v>105</v>
      </c>
      <c r="L12" s="21">
        <f t="shared" si="0"/>
        <v>10</v>
      </c>
      <c r="M12" s="21">
        <f t="shared" si="1"/>
        <v>0.5</v>
      </c>
      <c r="N12" s="21" t="s">
        <v>105</v>
      </c>
      <c r="O12" s="5">
        <v>12</v>
      </c>
      <c r="P12" s="18" t="s">
        <v>115</v>
      </c>
      <c r="Q12" s="17">
        <v>0</v>
      </c>
      <c r="R12" s="71">
        <f>R6-6%</f>
        <v>0.79</v>
      </c>
      <c r="S12" s="17">
        <v>1</v>
      </c>
    </row>
    <row r="13" spans="1:63" x14ac:dyDescent="0.25">
      <c r="A13" s="1">
        <v>4011</v>
      </c>
      <c r="B13" s="11" t="b">
        <v>1</v>
      </c>
      <c r="C13" s="11" t="b">
        <v>1</v>
      </c>
      <c r="D13" s="118" t="str">
        <f t="shared" si="3"/>
        <v>Custom_RfG_Fault_3_FRTtrig_0.78pu</v>
      </c>
      <c r="E13" s="5">
        <f t="shared" si="2"/>
        <v>0.02</v>
      </c>
      <c r="F13" s="5">
        <v>1</v>
      </c>
      <c r="G13" s="5" t="s">
        <v>105</v>
      </c>
      <c r="H13" s="5" t="s">
        <v>219</v>
      </c>
      <c r="I13" s="5" t="s">
        <v>105</v>
      </c>
      <c r="J13" s="5">
        <v>0</v>
      </c>
      <c r="K13" s="5" t="s">
        <v>105</v>
      </c>
      <c r="L13" s="21">
        <f t="shared" si="0"/>
        <v>10</v>
      </c>
      <c r="M13" s="21">
        <f t="shared" si="1"/>
        <v>0.5</v>
      </c>
      <c r="N13" s="21" t="s">
        <v>105</v>
      </c>
      <c r="O13" s="5">
        <v>12</v>
      </c>
      <c r="P13" s="18" t="s">
        <v>115</v>
      </c>
      <c r="Q13" s="17">
        <v>0</v>
      </c>
      <c r="R13" s="71">
        <f>R6-7%</f>
        <v>0.78</v>
      </c>
      <c r="S13" s="17">
        <v>1</v>
      </c>
    </row>
    <row r="14" spans="1:63" x14ac:dyDescent="0.25">
      <c r="A14" s="1">
        <v>4012</v>
      </c>
      <c r="B14" s="11" t="b">
        <v>1</v>
      </c>
      <c r="C14" s="11" t="b">
        <v>1</v>
      </c>
      <c r="D14" s="118" t="str">
        <f>"Custom_RfG_LVRT_FRTexit_"&amp;SUBSTITUTE(TEXT(AH14,"0,00"),",",".")&amp;"pu"</f>
        <v>Custom_RfG_LVRT_FRTexit_0.84pu</v>
      </c>
      <c r="E14" s="5">
        <f t="shared" si="2"/>
        <v>0.02</v>
      </c>
      <c r="F14" s="5">
        <v>1</v>
      </c>
      <c r="G14" s="5" t="s">
        <v>105</v>
      </c>
      <c r="H14" s="5" t="s">
        <v>219</v>
      </c>
      <c r="I14" s="5" t="s">
        <v>105</v>
      </c>
      <c r="J14" s="5">
        <v>0</v>
      </c>
      <c r="K14" s="5" t="s">
        <v>105</v>
      </c>
      <c r="L14" s="21">
        <v>-1</v>
      </c>
      <c r="M14" s="21">
        <v>0</v>
      </c>
      <c r="N14" s="21" t="s">
        <v>105</v>
      </c>
      <c r="O14" s="5">
        <v>12</v>
      </c>
      <c r="P14" s="88" t="s">
        <v>108</v>
      </c>
      <c r="Q14" s="88">
        <v>0</v>
      </c>
      <c r="R14" s="88">
        <f t="shared" ref="R14:R19" si="4">sel_ures</f>
        <v>0</v>
      </c>
      <c r="S14" s="88">
        <v>0</v>
      </c>
      <c r="T14" s="5" t="s">
        <v>108</v>
      </c>
      <c r="U14" s="5">
        <f t="shared" ref="U14:U19" si="5">sel_tclear-0.0002</f>
        <v>0.14979999999999999</v>
      </c>
      <c r="V14" s="5">
        <f t="shared" ref="V14:V19" si="6">sel_uclear</f>
        <v>0</v>
      </c>
      <c r="W14" s="5">
        <f t="shared" ref="W14:W19" si="7">IF(sel_trec1&gt;sel_tclear,(sel_urec1-sel_uclear)/(sel_trec1-sel_tclear),0)</f>
        <v>0</v>
      </c>
      <c r="X14" s="88" t="s">
        <v>108</v>
      </c>
      <c r="Y14" s="88">
        <f t="shared" ref="Y14:Y19" si="8">sel_trec1-0.0001</f>
        <v>0.14990000000000001</v>
      </c>
      <c r="Z14" s="88">
        <f t="shared" ref="Z14:Z19" si="9">sel_urec1</f>
        <v>0</v>
      </c>
      <c r="AA14" s="88">
        <v>0</v>
      </c>
      <c r="AB14" s="5" t="s">
        <v>108</v>
      </c>
      <c r="AC14" s="5">
        <f t="shared" ref="AC14:AC19" si="10">sel_trec2</f>
        <v>0.15</v>
      </c>
      <c r="AD14" s="5">
        <f t="shared" ref="AD14:AD19" si="11">sel_urec1</f>
        <v>0</v>
      </c>
      <c r="AE14" s="5">
        <f t="shared" ref="AE14:AE19" si="12">IF(sel_trec3&gt;sel_trec2,(AH14-Z14)/(sel_trec3-sel_trec2),0)</f>
        <v>0.62222222222222212</v>
      </c>
      <c r="AF14" s="88" t="s">
        <v>108</v>
      </c>
      <c r="AG14" s="88">
        <f t="shared" ref="AG14:AG19" si="13">sel_trec3</f>
        <v>1.5</v>
      </c>
      <c r="AH14" s="88">
        <f>AH15-0.01</f>
        <v>0.84</v>
      </c>
      <c r="AI14" s="88">
        <v>0</v>
      </c>
    </row>
    <row r="15" spans="1:63" x14ac:dyDescent="0.25">
      <c r="A15" s="1">
        <v>4013</v>
      </c>
      <c r="B15" s="11" t="b">
        <v>1</v>
      </c>
      <c r="C15" s="11" t="b">
        <v>1</v>
      </c>
      <c r="D15" s="118" t="str">
        <f t="shared" ref="D15:D19" si="14">"Custom_RfG_LVRT_FRTexit_"&amp;SUBSTITUTE(TEXT(AH15,"0,00"),",",".")&amp;"pu"</f>
        <v>Custom_RfG_LVRT_FRTexit_0.85pu</v>
      </c>
      <c r="E15" s="5">
        <f t="shared" si="2"/>
        <v>0.02</v>
      </c>
      <c r="F15" s="5">
        <v>1</v>
      </c>
      <c r="G15" s="5" t="s">
        <v>105</v>
      </c>
      <c r="H15" s="5" t="s">
        <v>219</v>
      </c>
      <c r="I15" s="5" t="s">
        <v>105</v>
      </c>
      <c r="J15" s="5">
        <v>0</v>
      </c>
      <c r="K15" s="5" t="s">
        <v>105</v>
      </c>
      <c r="L15" s="21">
        <v>-1</v>
      </c>
      <c r="M15" s="21">
        <v>0</v>
      </c>
      <c r="N15" s="21" t="s">
        <v>105</v>
      </c>
      <c r="O15" s="5">
        <v>12</v>
      </c>
      <c r="P15" s="88" t="s">
        <v>108</v>
      </c>
      <c r="Q15" s="88">
        <v>0</v>
      </c>
      <c r="R15" s="88">
        <f t="shared" si="4"/>
        <v>0</v>
      </c>
      <c r="S15" s="88">
        <v>0</v>
      </c>
      <c r="T15" s="5" t="s">
        <v>108</v>
      </c>
      <c r="U15" s="5">
        <f t="shared" si="5"/>
        <v>0.14979999999999999</v>
      </c>
      <c r="V15" s="5">
        <f t="shared" si="6"/>
        <v>0</v>
      </c>
      <c r="W15" s="5">
        <f t="shared" si="7"/>
        <v>0</v>
      </c>
      <c r="X15" s="88" t="s">
        <v>108</v>
      </c>
      <c r="Y15" s="88">
        <f t="shared" si="8"/>
        <v>0.14990000000000001</v>
      </c>
      <c r="Z15" s="88">
        <f t="shared" si="9"/>
        <v>0</v>
      </c>
      <c r="AA15" s="88">
        <v>0</v>
      </c>
      <c r="AB15" s="5" t="s">
        <v>108</v>
      </c>
      <c r="AC15" s="5">
        <f t="shared" si="10"/>
        <v>0.15</v>
      </c>
      <c r="AD15" s="5">
        <f t="shared" si="11"/>
        <v>0</v>
      </c>
      <c r="AE15" s="5">
        <f t="shared" si="12"/>
        <v>0.62962962962962954</v>
      </c>
      <c r="AF15" s="88" t="s">
        <v>108</v>
      </c>
      <c r="AG15" s="88">
        <f t="shared" si="13"/>
        <v>1.5</v>
      </c>
      <c r="AH15" s="199">
        <f>sel_urec2</f>
        <v>0.85</v>
      </c>
      <c r="AI15" s="88">
        <v>0</v>
      </c>
      <c r="AJ15" s="5"/>
      <c r="AK15" s="5"/>
      <c r="AL15" s="5"/>
      <c r="AM15" s="5"/>
    </row>
    <row r="16" spans="1:63" x14ac:dyDescent="0.25">
      <c r="A16" s="1">
        <v>4014</v>
      </c>
      <c r="B16" s="11" t="b">
        <v>1</v>
      </c>
      <c r="C16" s="11" t="b">
        <v>1</v>
      </c>
      <c r="D16" s="118" t="str">
        <f t="shared" si="14"/>
        <v>Custom_RfG_LVRT_FRTexit_0.86pu</v>
      </c>
      <c r="E16" s="5">
        <f t="shared" si="2"/>
        <v>0.02</v>
      </c>
      <c r="F16" s="5">
        <v>1</v>
      </c>
      <c r="G16" s="5" t="s">
        <v>105</v>
      </c>
      <c r="H16" s="5" t="s">
        <v>219</v>
      </c>
      <c r="I16" s="5" t="s">
        <v>105</v>
      </c>
      <c r="J16" s="5">
        <v>0</v>
      </c>
      <c r="K16" s="5" t="s">
        <v>105</v>
      </c>
      <c r="L16" s="21">
        <v>-1</v>
      </c>
      <c r="M16" s="21">
        <v>0</v>
      </c>
      <c r="N16" s="21" t="s">
        <v>105</v>
      </c>
      <c r="O16" s="5">
        <v>12</v>
      </c>
      <c r="P16" s="88" t="s">
        <v>108</v>
      </c>
      <c r="Q16" s="88">
        <v>0</v>
      </c>
      <c r="R16" s="88">
        <f t="shared" si="4"/>
        <v>0</v>
      </c>
      <c r="S16" s="88">
        <v>0</v>
      </c>
      <c r="T16" s="5" t="s">
        <v>108</v>
      </c>
      <c r="U16" s="5">
        <f t="shared" si="5"/>
        <v>0.14979999999999999</v>
      </c>
      <c r="V16" s="5">
        <f t="shared" si="6"/>
        <v>0</v>
      </c>
      <c r="W16" s="5">
        <f t="shared" si="7"/>
        <v>0</v>
      </c>
      <c r="X16" s="88" t="s">
        <v>108</v>
      </c>
      <c r="Y16" s="88">
        <f t="shared" si="8"/>
        <v>0.14990000000000001</v>
      </c>
      <c r="Z16" s="88">
        <f t="shared" si="9"/>
        <v>0</v>
      </c>
      <c r="AA16" s="88">
        <v>0</v>
      </c>
      <c r="AB16" s="5" t="s">
        <v>108</v>
      </c>
      <c r="AC16" s="5">
        <f t="shared" si="10"/>
        <v>0.15</v>
      </c>
      <c r="AD16" s="5">
        <f t="shared" si="11"/>
        <v>0</v>
      </c>
      <c r="AE16" s="5">
        <f t="shared" si="12"/>
        <v>0.63703703703703696</v>
      </c>
      <c r="AF16" s="88" t="s">
        <v>108</v>
      </c>
      <c r="AG16" s="88">
        <f t="shared" si="13"/>
        <v>1.5</v>
      </c>
      <c r="AH16" s="88">
        <f>AH15+0.01</f>
        <v>0.86</v>
      </c>
      <c r="AI16" s="88">
        <v>0</v>
      </c>
      <c r="AJ16" s="5"/>
      <c r="AK16" s="5"/>
      <c r="AL16" s="5"/>
      <c r="AM16" s="5"/>
    </row>
    <row r="17" spans="1:39" x14ac:dyDescent="0.25">
      <c r="A17" s="1">
        <v>4015</v>
      </c>
      <c r="B17" s="11" t="b">
        <v>1</v>
      </c>
      <c r="C17" s="11" t="b">
        <v>1</v>
      </c>
      <c r="D17" s="118" t="str">
        <f t="shared" si="14"/>
        <v>Custom_RfG_LVRT_FRTexit_0.87pu</v>
      </c>
      <c r="E17" s="5">
        <f t="shared" si="2"/>
        <v>0.02</v>
      </c>
      <c r="F17" s="5">
        <v>1</v>
      </c>
      <c r="G17" s="5" t="s">
        <v>105</v>
      </c>
      <c r="H17" s="5" t="s">
        <v>219</v>
      </c>
      <c r="I17" s="5" t="s">
        <v>105</v>
      </c>
      <c r="J17" s="5">
        <v>0</v>
      </c>
      <c r="K17" s="5" t="s">
        <v>105</v>
      </c>
      <c r="L17" s="21">
        <v>-1</v>
      </c>
      <c r="M17" s="21">
        <v>0</v>
      </c>
      <c r="N17" s="21" t="s">
        <v>105</v>
      </c>
      <c r="O17" s="5">
        <v>12</v>
      </c>
      <c r="P17" s="88" t="s">
        <v>108</v>
      </c>
      <c r="Q17" s="88">
        <v>0</v>
      </c>
      <c r="R17" s="88">
        <f t="shared" si="4"/>
        <v>0</v>
      </c>
      <c r="S17" s="88">
        <v>0</v>
      </c>
      <c r="T17" s="5" t="s">
        <v>108</v>
      </c>
      <c r="U17" s="5">
        <f t="shared" si="5"/>
        <v>0.14979999999999999</v>
      </c>
      <c r="V17" s="5">
        <f t="shared" si="6"/>
        <v>0</v>
      </c>
      <c r="W17" s="5">
        <f t="shared" si="7"/>
        <v>0</v>
      </c>
      <c r="X17" s="88" t="s">
        <v>108</v>
      </c>
      <c r="Y17" s="88">
        <f t="shared" si="8"/>
        <v>0.14990000000000001</v>
      </c>
      <c r="Z17" s="88">
        <f t="shared" si="9"/>
        <v>0</v>
      </c>
      <c r="AA17" s="88">
        <v>0</v>
      </c>
      <c r="AB17" s="5" t="s">
        <v>108</v>
      </c>
      <c r="AC17" s="5">
        <f t="shared" si="10"/>
        <v>0.15</v>
      </c>
      <c r="AD17" s="5">
        <f t="shared" si="11"/>
        <v>0</v>
      </c>
      <c r="AE17" s="5">
        <f t="shared" si="12"/>
        <v>0.64444444444444438</v>
      </c>
      <c r="AF17" s="88" t="s">
        <v>108</v>
      </c>
      <c r="AG17" s="88">
        <f t="shared" si="13"/>
        <v>1.5</v>
      </c>
      <c r="AH17" s="88">
        <f>AH15+0.02</f>
        <v>0.87</v>
      </c>
      <c r="AI17" s="88">
        <v>0</v>
      </c>
      <c r="AJ17" s="5"/>
      <c r="AK17" s="5"/>
      <c r="AL17" s="5"/>
      <c r="AM17" s="5"/>
    </row>
    <row r="18" spans="1:39" x14ac:dyDescent="0.25">
      <c r="A18" s="1">
        <v>4016</v>
      </c>
      <c r="B18" s="11" t="b">
        <v>1</v>
      </c>
      <c r="C18" s="11" t="b">
        <v>1</v>
      </c>
      <c r="D18" s="118" t="str">
        <f t="shared" si="14"/>
        <v>Custom_RfG_LVRT_FRTexit_0.88pu</v>
      </c>
      <c r="E18" s="5">
        <f t="shared" si="2"/>
        <v>0.02</v>
      </c>
      <c r="F18" s="5">
        <v>1</v>
      </c>
      <c r="G18" s="5" t="s">
        <v>105</v>
      </c>
      <c r="H18" s="5" t="s">
        <v>219</v>
      </c>
      <c r="I18" s="5" t="s">
        <v>105</v>
      </c>
      <c r="J18" s="5">
        <v>0</v>
      </c>
      <c r="K18" s="5" t="s">
        <v>105</v>
      </c>
      <c r="L18" s="21">
        <v>-1</v>
      </c>
      <c r="M18" s="21">
        <v>0</v>
      </c>
      <c r="N18" s="21" t="s">
        <v>105</v>
      </c>
      <c r="O18" s="5">
        <v>12</v>
      </c>
      <c r="P18" s="88" t="s">
        <v>108</v>
      </c>
      <c r="Q18" s="88">
        <v>0</v>
      </c>
      <c r="R18" s="88">
        <f t="shared" si="4"/>
        <v>0</v>
      </c>
      <c r="S18" s="88">
        <v>0</v>
      </c>
      <c r="T18" s="5" t="s">
        <v>108</v>
      </c>
      <c r="U18" s="5">
        <f t="shared" si="5"/>
        <v>0.14979999999999999</v>
      </c>
      <c r="V18" s="5">
        <f t="shared" si="6"/>
        <v>0</v>
      </c>
      <c r="W18" s="5">
        <f t="shared" si="7"/>
        <v>0</v>
      </c>
      <c r="X18" s="88" t="s">
        <v>108</v>
      </c>
      <c r="Y18" s="88">
        <f t="shared" si="8"/>
        <v>0.14990000000000001</v>
      </c>
      <c r="Z18" s="88">
        <f t="shared" si="9"/>
        <v>0</v>
      </c>
      <c r="AA18" s="88">
        <v>0</v>
      </c>
      <c r="AB18" s="5" t="s">
        <v>108</v>
      </c>
      <c r="AC18" s="5">
        <f t="shared" si="10"/>
        <v>0.15</v>
      </c>
      <c r="AD18" s="5">
        <f t="shared" si="11"/>
        <v>0</v>
      </c>
      <c r="AE18" s="5">
        <f t="shared" si="12"/>
        <v>0.65185185185185179</v>
      </c>
      <c r="AF18" s="88" t="s">
        <v>108</v>
      </c>
      <c r="AG18" s="88">
        <f t="shared" si="13"/>
        <v>1.5</v>
      </c>
      <c r="AH18" s="88">
        <f>AH15+0.03</f>
        <v>0.88</v>
      </c>
      <c r="AI18" s="88">
        <v>0</v>
      </c>
      <c r="AJ18" s="5"/>
      <c r="AK18" s="5"/>
      <c r="AL18" s="5"/>
      <c r="AM18" s="5"/>
    </row>
    <row r="19" spans="1:39" x14ac:dyDescent="0.25">
      <c r="A19" s="1">
        <v>4017</v>
      </c>
      <c r="B19" s="11" t="b">
        <v>1</v>
      </c>
      <c r="C19" s="11" t="b">
        <v>1</v>
      </c>
      <c r="D19" s="118" t="str">
        <f t="shared" si="14"/>
        <v>Custom_RfG_LVRT_FRTexit_0.89pu</v>
      </c>
      <c r="E19" s="5">
        <f t="shared" si="2"/>
        <v>0.02</v>
      </c>
      <c r="F19" s="5">
        <v>1</v>
      </c>
      <c r="G19" s="5" t="s">
        <v>105</v>
      </c>
      <c r="H19" s="5" t="s">
        <v>219</v>
      </c>
      <c r="I19" s="5" t="s">
        <v>105</v>
      </c>
      <c r="J19" s="5">
        <v>0</v>
      </c>
      <c r="K19" s="5" t="s">
        <v>105</v>
      </c>
      <c r="L19" s="21">
        <v>-1</v>
      </c>
      <c r="M19" s="21">
        <v>0</v>
      </c>
      <c r="N19" s="21" t="s">
        <v>105</v>
      </c>
      <c r="O19" s="5">
        <v>12</v>
      </c>
      <c r="P19" s="88" t="s">
        <v>108</v>
      </c>
      <c r="Q19" s="88">
        <v>0</v>
      </c>
      <c r="R19" s="88">
        <f t="shared" si="4"/>
        <v>0</v>
      </c>
      <c r="S19" s="88">
        <v>0</v>
      </c>
      <c r="T19" s="5" t="s">
        <v>108</v>
      </c>
      <c r="U19" s="5">
        <f t="shared" si="5"/>
        <v>0.14979999999999999</v>
      </c>
      <c r="V19" s="5">
        <f t="shared" si="6"/>
        <v>0</v>
      </c>
      <c r="W19" s="5">
        <f t="shared" si="7"/>
        <v>0</v>
      </c>
      <c r="X19" s="88" t="s">
        <v>108</v>
      </c>
      <c r="Y19" s="88">
        <f t="shared" si="8"/>
        <v>0.14990000000000001</v>
      </c>
      <c r="Z19" s="88">
        <f t="shared" si="9"/>
        <v>0</v>
      </c>
      <c r="AA19" s="88">
        <v>0</v>
      </c>
      <c r="AB19" s="5" t="s">
        <v>108</v>
      </c>
      <c r="AC19" s="5">
        <f t="shared" si="10"/>
        <v>0.15</v>
      </c>
      <c r="AD19" s="5">
        <f t="shared" si="11"/>
        <v>0</v>
      </c>
      <c r="AE19" s="5">
        <f t="shared" si="12"/>
        <v>0.65925925925925921</v>
      </c>
      <c r="AF19" s="88" t="s">
        <v>108</v>
      </c>
      <c r="AG19" s="88">
        <f t="shared" si="13"/>
        <v>1.5</v>
      </c>
      <c r="AH19" s="88">
        <f>AH15+0.04</f>
        <v>0.89</v>
      </c>
      <c r="AI19" s="88">
        <v>0</v>
      </c>
      <c r="AJ19" s="5"/>
      <c r="AK19" s="5"/>
      <c r="AL19" s="5"/>
      <c r="AM19" s="5"/>
    </row>
    <row r="20" spans="1:39" x14ac:dyDescent="0.25">
      <c r="A20" s="1">
        <v>4018</v>
      </c>
      <c r="B20" s="11" t="b">
        <v>1</v>
      </c>
      <c r="C20" s="11" t="b">
        <v>1</v>
      </c>
      <c r="D20" s="118" t="str">
        <f>"Custom_RfG_Fault_3_MaxIQ_"&amp;SUBSTITUTE(TEXT(R20,"0,00"),",",".")&amp;"pu"</f>
        <v>Custom_RfG_Fault_3_MaxIQ_0.24pu</v>
      </c>
      <c r="E20" s="5">
        <f t="shared" si="2"/>
        <v>0.02</v>
      </c>
      <c r="F20" s="5">
        <v>1</v>
      </c>
      <c r="G20" s="5" t="s">
        <v>105</v>
      </c>
      <c r="H20" s="5" t="s">
        <v>219</v>
      </c>
      <c r="I20" s="5" t="s">
        <v>105</v>
      </c>
      <c r="J20" s="5">
        <v>0</v>
      </c>
      <c r="K20" s="5" t="s">
        <v>105</v>
      </c>
      <c r="L20" s="21">
        <f t="shared" si="0"/>
        <v>10</v>
      </c>
      <c r="M20" s="21">
        <f t="shared" si="1"/>
        <v>0.5</v>
      </c>
      <c r="N20" s="21" t="s">
        <v>105</v>
      </c>
      <c r="O20" s="5">
        <v>12</v>
      </c>
      <c r="P20" s="18" t="s">
        <v>115</v>
      </c>
      <c r="Q20" s="17">
        <v>0</v>
      </c>
      <c r="R20" s="71">
        <f>R24+4%</f>
        <v>0.24000000000000002</v>
      </c>
      <c r="S20" s="17">
        <v>0.15</v>
      </c>
    </row>
    <row r="21" spans="1:39" x14ac:dyDescent="0.25">
      <c r="A21" s="1">
        <v>4019</v>
      </c>
      <c r="B21" s="11" t="b">
        <v>1</v>
      </c>
      <c r="C21" s="11" t="b">
        <v>1</v>
      </c>
      <c r="D21" s="118" t="str">
        <f t="shared" ref="D21:D29" si="15">"Custom_RfG_Fault_3_MaxIQ_"&amp;SUBSTITUTE(TEXT(R21,"0,00"),",",".")&amp;"pu"</f>
        <v>Custom_RfG_Fault_3_MaxIQ_0.23pu</v>
      </c>
      <c r="E21" s="5">
        <f t="shared" si="2"/>
        <v>0.02</v>
      </c>
      <c r="F21" s="5">
        <v>1</v>
      </c>
      <c r="G21" s="5" t="s">
        <v>105</v>
      </c>
      <c r="H21" s="5" t="s">
        <v>219</v>
      </c>
      <c r="I21" s="5" t="s">
        <v>105</v>
      </c>
      <c r="J21" s="5">
        <v>0</v>
      </c>
      <c r="K21" s="5" t="s">
        <v>105</v>
      </c>
      <c r="L21" s="21">
        <f t="shared" si="0"/>
        <v>10</v>
      </c>
      <c r="M21" s="21">
        <f t="shared" si="1"/>
        <v>0.5</v>
      </c>
      <c r="N21" s="21" t="s">
        <v>105</v>
      </c>
      <c r="O21" s="5">
        <v>12</v>
      </c>
      <c r="P21" s="18" t="s">
        <v>115</v>
      </c>
      <c r="Q21" s="17">
        <v>0</v>
      </c>
      <c r="R21" s="71">
        <f>R24+3%</f>
        <v>0.23</v>
      </c>
      <c r="S21" s="17">
        <v>0.15</v>
      </c>
    </row>
    <row r="22" spans="1:39" x14ac:dyDescent="0.25">
      <c r="A22" s="1">
        <v>4020</v>
      </c>
      <c r="B22" s="11" t="b">
        <v>1</v>
      </c>
      <c r="C22" s="11" t="b">
        <v>1</v>
      </c>
      <c r="D22" s="118" t="str">
        <f t="shared" si="15"/>
        <v>Custom_RfG_Fault_3_MaxIQ_0.22pu</v>
      </c>
      <c r="E22" s="5">
        <f t="shared" si="2"/>
        <v>0.02</v>
      </c>
      <c r="F22" s="5">
        <v>1</v>
      </c>
      <c r="G22" s="5" t="s">
        <v>105</v>
      </c>
      <c r="H22" s="5" t="s">
        <v>219</v>
      </c>
      <c r="I22" s="5" t="s">
        <v>105</v>
      </c>
      <c r="J22" s="5">
        <v>0</v>
      </c>
      <c r="K22" s="5" t="s">
        <v>105</v>
      </c>
      <c r="L22" s="21">
        <f t="shared" si="0"/>
        <v>10</v>
      </c>
      <c r="M22" s="21">
        <f t="shared" si="1"/>
        <v>0.5</v>
      </c>
      <c r="N22" s="21" t="s">
        <v>105</v>
      </c>
      <c r="O22" s="5">
        <v>12</v>
      </c>
      <c r="P22" s="18" t="s">
        <v>115</v>
      </c>
      <c r="Q22" s="17">
        <v>0</v>
      </c>
      <c r="R22" s="71">
        <f>R24+2%</f>
        <v>0.22</v>
      </c>
      <c r="S22" s="17">
        <v>0.15</v>
      </c>
    </row>
    <row r="23" spans="1:39" x14ac:dyDescent="0.25">
      <c r="A23" s="1">
        <v>4021</v>
      </c>
      <c r="B23" s="11" t="b">
        <v>1</v>
      </c>
      <c r="C23" s="11" t="b">
        <v>1</v>
      </c>
      <c r="D23" s="118" t="str">
        <f t="shared" si="15"/>
        <v>Custom_RfG_Fault_3_MaxIQ_0.21pu</v>
      </c>
      <c r="E23" s="5">
        <f t="shared" si="2"/>
        <v>0.02</v>
      </c>
      <c r="F23" s="5">
        <v>1</v>
      </c>
      <c r="G23" s="5" t="s">
        <v>105</v>
      </c>
      <c r="H23" s="5" t="s">
        <v>219</v>
      </c>
      <c r="I23" s="5" t="s">
        <v>105</v>
      </c>
      <c r="J23" s="5">
        <v>0</v>
      </c>
      <c r="K23" s="5" t="s">
        <v>105</v>
      </c>
      <c r="L23" s="21">
        <f t="shared" si="0"/>
        <v>10</v>
      </c>
      <c r="M23" s="21">
        <f t="shared" si="1"/>
        <v>0.5</v>
      </c>
      <c r="N23" s="21" t="s">
        <v>105</v>
      </c>
      <c r="O23" s="5">
        <v>12</v>
      </c>
      <c r="P23" s="18" t="s">
        <v>115</v>
      </c>
      <c r="Q23" s="17">
        <v>0</v>
      </c>
      <c r="R23" s="71">
        <f>R24+1%</f>
        <v>0.21000000000000002</v>
      </c>
      <c r="S23" s="17">
        <v>0.15</v>
      </c>
    </row>
    <row r="24" spans="1:39" x14ac:dyDescent="0.25">
      <c r="A24" s="1">
        <v>4022</v>
      </c>
      <c r="B24" s="11" t="b">
        <v>1</v>
      </c>
      <c r="C24" s="11" t="b">
        <v>1</v>
      </c>
      <c r="D24" s="118" t="str">
        <f t="shared" si="15"/>
        <v>Custom_RfG_Fault_3_MaxIQ_0.20pu</v>
      </c>
      <c r="E24" s="5">
        <f t="shared" si="2"/>
        <v>0.02</v>
      </c>
      <c r="F24" s="5">
        <v>1</v>
      </c>
      <c r="G24" s="5" t="s">
        <v>105</v>
      </c>
      <c r="H24" s="5" t="s">
        <v>219</v>
      </c>
      <c r="I24" s="5" t="s">
        <v>105</v>
      </c>
      <c r="J24" s="5">
        <v>0</v>
      </c>
      <c r="K24" s="5" t="s">
        <v>105</v>
      </c>
      <c r="L24" s="21">
        <f t="shared" si="0"/>
        <v>10</v>
      </c>
      <c r="M24" s="21">
        <f t="shared" si="1"/>
        <v>0.5</v>
      </c>
      <c r="N24" s="21" t="s">
        <v>105</v>
      </c>
      <c r="O24" s="5">
        <v>12</v>
      </c>
      <c r="P24" s="18" t="s">
        <v>115</v>
      </c>
      <c r="Q24" s="17">
        <v>0</v>
      </c>
      <c r="R24" s="198">
        <v>0.2</v>
      </c>
      <c r="S24" s="17">
        <v>0.15</v>
      </c>
    </row>
    <row r="25" spans="1:39" x14ac:dyDescent="0.25">
      <c r="A25" s="1">
        <v>4023</v>
      </c>
      <c r="B25" s="11" t="b">
        <v>1</v>
      </c>
      <c r="C25" s="11" t="b">
        <v>1</v>
      </c>
      <c r="D25" s="118" t="str">
        <f t="shared" si="15"/>
        <v>Custom_RfG_Fault_3_MaxIQ_0.19pu</v>
      </c>
      <c r="E25" s="5">
        <f t="shared" si="2"/>
        <v>0.02</v>
      </c>
      <c r="F25" s="5">
        <v>1</v>
      </c>
      <c r="G25" s="5" t="s">
        <v>105</v>
      </c>
      <c r="H25" s="5" t="s">
        <v>219</v>
      </c>
      <c r="I25" s="5" t="s">
        <v>105</v>
      </c>
      <c r="J25" s="5">
        <v>0</v>
      </c>
      <c r="K25" s="5" t="s">
        <v>105</v>
      </c>
      <c r="L25" s="21">
        <f t="shared" si="0"/>
        <v>10</v>
      </c>
      <c r="M25" s="21">
        <f t="shared" si="1"/>
        <v>0.5</v>
      </c>
      <c r="N25" s="21" t="s">
        <v>105</v>
      </c>
      <c r="O25" s="5">
        <v>12</v>
      </c>
      <c r="P25" s="18" t="s">
        <v>115</v>
      </c>
      <c r="Q25" s="17">
        <v>0</v>
      </c>
      <c r="R25" s="71">
        <f>R24-1%</f>
        <v>0.19</v>
      </c>
      <c r="S25" s="17">
        <v>0.15</v>
      </c>
    </row>
    <row r="26" spans="1:39" x14ac:dyDescent="0.25">
      <c r="A26" s="1">
        <v>4024</v>
      </c>
      <c r="B26" s="11" t="b">
        <v>1</v>
      </c>
      <c r="C26" s="11" t="b">
        <v>1</v>
      </c>
      <c r="D26" s="118" t="str">
        <f t="shared" si="15"/>
        <v>Custom_RfG_Fault_3_MaxIQ_0.18pu</v>
      </c>
      <c r="E26" s="5">
        <f t="shared" si="2"/>
        <v>0.02</v>
      </c>
      <c r="F26" s="5">
        <v>1</v>
      </c>
      <c r="G26" s="5" t="s">
        <v>105</v>
      </c>
      <c r="H26" s="5" t="s">
        <v>219</v>
      </c>
      <c r="I26" s="5" t="s">
        <v>105</v>
      </c>
      <c r="J26" s="5">
        <v>0</v>
      </c>
      <c r="K26" s="5" t="s">
        <v>105</v>
      </c>
      <c r="L26" s="21">
        <f t="shared" si="0"/>
        <v>10</v>
      </c>
      <c r="M26" s="21">
        <f t="shared" si="1"/>
        <v>0.5</v>
      </c>
      <c r="N26" s="21" t="s">
        <v>105</v>
      </c>
      <c r="O26" s="5">
        <v>12</v>
      </c>
      <c r="P26" s="18" t="s">
        <v>115</v>
      </c>
      <c r="Q26" s="17">
        <v>0</v>
      </c>
      <c r="R26" s="71">
        <f>R24-2%</f>
        <v>0.18000000000000002</v>
      </c>
      <c r="S26" s="17">
        <v>0.15</v>
      </c>
    </row>
    <row r="27" spans="1:39" x14ac:dyDescent="0.25">
      <c r="A27" s="1">
        <v>4025</v>
      </c>
      <c r="B27" s="11" t="b">
        <v>1</v>
      </c>
      <c r="C27" s="11" t="b">
        <v>1</v>
      </c>
      <c r="D27" s="118" t="str">
        <f t="shared" si="15"/>
        <v>Custom_RfG_Fault_3_MaxIQ_0.17pu</v>
      </c>
      <c r="E27" s="5">
        <f t="shared" si="2"/>
        <v>0.02</v>
      </c>
      <c r="F27" s="5">
        <v>1</v>
      </c>
      <c r="G27" s="5" t="s">
        <v>105</v>
      </c>
      <c r="H27" s="5" t="s">
        <v>219</v>
      </c>
      <c r="I27" s="5" t="s">
        <v>105</v>
      </c>
      <c r="J27" s="5">
        <v>0</v>
      </c>
      <c r="K27" s="5" t="s">
        <v>105</v>
      </c>
      <c r="L27" s="21">
        <f t="shared" si="0"/>
        <v>10</v>
      </c>
      <c r="M27" s="21">
        <f t="shared" si="1"/>
        <v>0.5</v>
      </c>
      <c r="N27" s="21" t="s">
        <v>105</v>
      </c>
      <c r="O27" s="5">
        <v>12</v>
      </c>
      <c r="P27" s="18" t="s">
        <v>115</v>
      </c>
      <c r="Q27" s="17">
        <v>0</v>
      </c>
      <c r="R27" s="71">
        <f>R24-3%</f>
        <v>0.17</v>
      </c>
      <c r="S27" s="17">
        <v>0.15</v>
      </c>
    </row>
    <row r="28" spans="1:39" x14ac:dyDescent="0.25">
      <c r="A28" s="1">
        <v>4026</v>
      </c>
      <c r="B28" s="11" t="b">
        <v>1</v>
      </c>
      <c r="C28" s="11" t="b">
        <v>1</v>
      </c>
      <c r="D28" s="118" t="str">
        <f t="shared" si="15"/>
        <v>Custom_RfG_Fault_3_MaxIQ_0.16pu</v>
      </c>
      <c r="E28" s="5">
        <f t="shared" si="2"/>
        <v>0.02</v>
      </c>
      <c r="F28" s="5">
        <v>1</v>
      </c>
      <c r="G28" s="5" t="s">
        <v>105</v>
      </c>
      <c r="H28" s="5" t="s">
        <v>219</v>
      </c>
      <c r="I28" s="5" t="s">
        <v>105</v>
      </c>
      <c r="J28" s="5">
        <v>0</v>
      </c>
      <c r="K28" s="5" t="s">
        <v>105</v>
      </c>
      <c r="L28" s="21">
        <f t="shared" si="0"/>
        <v>10</v>
      </c>
      <c r="M28" s="21">
        <f t="shared" si="1"/>
        <v>0.5</v>
      </c>
      <c r="N28" s="21" t="s">
        <v>105</v>
      </c>
      <c r="O28" s="5">
        <v>12</v>
      </c>
      <c r="P28" s="18" t="s">
        <v>115</v>
      </c>
      <c r="Q28" s="17">
        <v>0</v>
      </c>
      <c r="R28" s="71">
        <f>R24-4%</f>
        <v>0.16</v>
      </c>
      <c r="S28" s="17">
        <v>0.15</v>
      </c>
    </row>
    <row r="29" spans="1:39" x14ac:dyDescent="0.25">
      <c r="A29" s="1">
        <v>4027</v>
      </c>
      <c r="B29" s="11" t="b">
        <v>1</v>
      </c>
      <c r="C29" s="11" t="b">
        <v>1</v>
      </c>
      <c r="D29" s="118" t="str">
        <f t="shared" si="15"/>
        <v>Custom_RfG_Fault_3_MaxIQ_0.15pu</v>
      </c>
      <c r="E29" s="5">
        <f t="shared" si="2"/>
        <v>0.02</v>
      </c>
      <c r="F29" s="5">
        <v>1</v>
      </c>
      <c r="G29" s="5" t="s">
        <v>105</v>
      </c>
      <c r="H29" s="5" t="s">
        <v>219</v>
      </c>
      <c r="I29" s="5" t="s">
        <v>105</v>
      </c>
      <c r="J29" s="5">
        <v>0</v>
      </c>
      <c r="K29" s="5" t="s">
        <v>105</v>
      </c>
      <c r="L29" s="21">
        <f t="shared" si="0"/>
        <v>10</v>
      </c>
      <c r="M29" s="21">
        <f t="shared" si="1"/>
        <v>0.5</v>
      </c>
      <c r="N29" s="21" t="s">
        <v>105</v>
      </c>
      <c r="O29" s="5">
        <v>12</v>
      </c>
      <c r="P29" s="18" t="s">
        <v>115</v>
      </c>
      <c r="Q29" s="17">
        <v>0</v>
      </c>
      <c r="R29" s="71">
        <f>R24-5%</f>
        <v>0.15000000000000002</v>
      </c>
      <c r="S29" s="17">
        <v>0.15</v>
      </c>
    </row>
    <row r="30" spans="1:39" x14ac:dyDescent="0.25">
      <c r="A30" s="1">
        <v>4028</v>
      </c>
      <c r="B30" s="11" t="b">
        <v>1</v>
      </c>
      <c r="C30" s="11" t="b">
        <v>1</v>
      </c>
      <c r="D30" s="118" t="str">
        <f>"Custom_RfG_Fault_3_"&amp;SUBSTITUTE(TEXT(V30,"0,0"),",",".")&amp;"pu_Plim_"&amp;SUBSTITUTE(TEXT(R30,"0,0"),",",".")&amp;"pu"</f>
        <v>Custom_RfG_Fault_3_0.2pu_Plim_0.5pu</v>
      </c>
      <c r="E30" s="5">
        <f t="shared" si="2"/>
        <v>0.02</v>
      </c>
      <c r="F30" s="5">
        <v>0.5</v>
      </c>
      <c r="G30" s="5" t="s">
        <v>105</v>
      </c>
      <c r="H30" s="5" t="s">
        <v>219</v>
      </c>
      <c r="I30" s="5" t="s">
        <v>105</v>
      </c>
      <c r="J30" s="5">
        <v>0</v>
      </c>
      <c r="K30" s="5" t="s">
        <v>105</v>
      </c>
      <c r="L30" s="21">
        <f t="shared" si="0"/>
        <v>10</v>
      </c>
      <c r="M30" s="21">
        <f t="shared" si="1"/>
        <v>0.5</v>
      </c>
      <c r="N30" s="21" t="s">
        <v>105</v>
      </c>
      <c r="O30" s="5">
        <v>20</v>
      </c>
      <c r="P30" s="18" t="s">
        <v>123</v>
      </c>
      <c r="Q30" s="17">
        <v>-1</v>
      </c>
      <c r="R30" s="17">
        <v>0.5</v>
      </c>
      <c r="T30" s="1" t="s">
        <v>115</v>
      </c>
      <c r="U30" s="5">
        <v>0</v>
      </c>
      <c r="V30" s="78">
        <v>0.2</v>
      </c>
      <c r="W30" s="5">
        <v>0.45</v>
      </c>
    </row>
    <row r="31" spans="1:39" x14ac:dyDescent="0.25">
      <c r="A31" s="1">
        <v>4029</v>
      </c>
      <c r="B31" s="11" t="b">
        <v>1</v>
      </c>
      <c r="C31" s="11" t="b">
        <v>1</v>
      </c>
      <c r="D31" s="118" t="str">
        <f>"Custom_RfG_Fault_2_"&amp;SUBSTITUTE(TEXT(V31,"0,0"),",",".")&amp;"pu_Plim_"&amp;SUBSTITUTE(TEXT(R31,"0,0"),",",".")&amp;"pu"</f>
        <v>Custom_RfG_Fault_2_0.2pu_Plim_0.5pu</v>
      </c>
      <c r="E31" s="5">
        <f t="shared" si="2"/>
        <v>0.02</v>
      </c>
      <c r="F31" s="5">
        <v>0.5</v>
      </c>
      <c r="G31" s="5" t="s">
        <v>105</v>
      </c>
      <c r="H31" s="5" t="s">
        <v>219</v>
      </c>
      <c r="I31" s="5" t="s">
        <v>105</v>
      </c>
      <c r="J31" s="5">
        <v>0</v>
      </c>
      <c r="K31" s="5" t="s">
        <v>105</v>
      </c>
      <c r="L31" s="21">
        <f t="shared" si="0"/>
        <v>10</v>
      </c>
      <c r="M31" s="21">
        <f t="shared" si="1"/>
        <v>0.5</v>
      </c>
      <c r="N31" s="21" t="s">
        <v>105</v>
      </c>
      <c r="O31" s="5">
        <v>20</v>
      </c>
      <c r="P31" s="18" t="s">
        <v>123</v>
      </c>
      <c r="Q31" s="17">
        <v>-1</v>
      </c>
      <c r="R31" s="17">
        <v>0.5</v>
      </c>
      <c r="T31" s="1" t="s">
        <v>116</v>
      </c>
      <c r="U31" s="5">
        <v>0</v>
      </c>
      <c r="V31" s="78">
        <v>0.2</v>
      </c>
      <c r="W31" s="5">
        <v>0.45</v>
      </c>
    </row>
    <row r="32" spans="1:39" x14ac:dyDescent="0.25">
      <c r="A32" s="1">
        <v>4030</v>
      </c>
      <c r="B32" s="11" t="b">
        <v>1</v>
      </c>
      <c r="C32" s="11" t="b">
        <v>1</v>
      </c>
      <c r="D32" s="118" t="str">
        <f>"Custom_RfG_Fault_1_"&amp;SUBSTITUTE(TEXT(V32,"0,0"),",",".")&amp;"pu_Plim_"&amp;SUBSTITUTE(TEXT(R32,"0,0"),",",".")&amp;"pu"</f>
        <v>Custom_RfG_Fault_1_0.2pu_Plim_0.5pu</v>
      </c>
      <c r="E32" s="5">
        <f t="shared" si="2"/>
        <v>0.02</v>
      </c>
      <c r="F32" s="5">
        <v>0.5</v>
      </c>
      <c r="G32" s="5" t="s">
        <v>105</v>
      </c>
      <c r="H32" s="5" t="s">
        <v>219</v>
      </c>
      <c r="I32" s="5" t="s">
        <v>105</v>
      </c>
      <c r="J32" s="5">
        <v>0</v>
      </c>
      <c r="K32" s="5" t="s">
        <v>105</v>
      </c>
      <c r="L32" s="21">
        <f t="shared" si="0"/>
        <v>10</v>
      </c>
      <c r="M32" s="21">
        <f t="shared" si="1"/>
        <v>0.5</v>
      </c>
      <c r="N32" s="21" t="s">
        <v>105</v>
      </c>
      <c r="O32" s="5">
        <v>20</v>
      </c>
      <c r="P32" s="18" t="s">
        <v>123</v>
      </c>
      <c r="Q32" s="17">
        <v>-1</v>
      </c>
      <c r="R32" s="17">
        <v>0.5</v>
      </c>
      <c r="T32" s="1" t="s">
        <v>117</v>
      </c>
      <c r="U32" s="5">
        <v>0</v>
      </c>
      <c r="V32" s="78">
        <v>0.2</v>
      </c>
      <c r="W32" s="5">
        <v>0.45</v>
      </c>
    </row>
    <row r="33" spans="1:34" x14ac:dyDescent="0.25">
      <c r="A33" s="1">
        <v>4031</v>
      </c>
      <c r="B33" s="11" t="b">
        <v>1</v>
      </c>
      <c r="C33" s="11" t="b">
        <v>1</v>
      </c>
      <c r="D33" s="118" t="str">
        <f>"Custom_RfG_Fault_3_"&amp;SUBSTITUTE(TEXT(V33,"0,0"),",",".")&amp;"pu_Plim_"&amp;SUBSTITUTE(TEXT(R33,"0,00"),",",".")&amp;"pu"</f>
        <v>Custom_RfG_Fault_3_0.2pu_Plim_0.15pu</v>
      </c>
      <c r="E33" s="5">
        <f t="shared" si="2"/>
        <v>0.02</v>
      </c>
      <c r="F33" s="5">
        <v>0.15</v>
      </c>
      <c r="G33" s="5" t="s">
        <v>105</v>
      </c>
      <c r="H33" s="5" t="s">
        <v>219</v>
      </c>
      <c r="I33" s="5" t="s">
        <v>105</v>
      </c>
      <c r="J33" s="5">
        <v>0</v>
      </c>
      <c r="K33" s="5" t="s">
        <v>105</v>
      </c>
      <c r="L33" s="21">
        <f t="shared" si="0"/>
        <v>10</v>
      </c>
      <c r="M33" s="21">
        <f t="shared" si="1"/>
        <v>0.5</v>
      </c>
      <c r="N33" s="21" t="s">
        <v>105</v>
      </c>
      <c r="O33" s="5">
        <v>20</v>
      </c>
      <c r="P33" s="18" t="s">
        <v>123</v>
      </c>
      <c r="Q33" s="17">
        <v>-1</v>
      </c>
      <c r="R33" s="17">
        <v>0.15</v>
      </c>
      <c r="T33" s="1" t="s">
        <v>115</v>
      </c>
      <c r="U33" s="5">
        <v>0</v>
      </c>
      <c r="V33" s="78">
        <v>0.2</v>
      </c>
      <c r="W33" s="5">
        <v>0.45</v>
      </c>
    </row>
    <row r="34" spans="1:34" x14ac:dyDescent="0.25">
      <c r="A34" s="1">
        <v>4032</v>
      </c>
      <c r="B34" s="11" t="b">
        <v>1</v>
      </c>
      <c r="C34" s="11" t="b">
        <v>1</v>
      </c>
      <c r="D34" s="118" t="str">
        <f>"Custom_RfG_Fault_2_"&amp;SUBSTITUTE(TEXT(V34,"0,0"),",",".")&amp;"pu_Plim_"&amp;SUBSTITUTE(TEXT(R34,"0,00"),",",".")&amp;"pu"</f>
        <v>Custom_RfG_Fault_2_0.2pu_Plim_0.15pu</v>
      </c>
      <c r="E34" s="5">
        <f t="shared" si="2"/>
        <v>0.02</v>
      </c>
      <c r="F34" s="5">
        <v>0.15</v>
      </c>
      <c r="G34" s="5" t="s">
        <v>105</v>
      </c>
      <c r="H34" s="5" t="s">
        <v>219</v>
      </c>
      <c r="I34" s="5" t="s">
        <v>105</v>
      </c>
      <c r="J34" s="5">
        <v>0</v>
      </c>
      <c r="K34" s="5" t="s">
        <v>105</v>
      </c>
      <c r="L34" s="21">
        <f t="shared" si="0"/>
        <v>10</v>
      </c>
      <c r="M34" s="21">
        <f t="shared" si="1"/>
        <v>0.5</v>
      </c>
      <c r="N34" s="21" t="s">
        <v>105</v>
      </c>
      <c r="O34" s="5">
        <v>20</v>
      </c>
      <c r="P34" s="18" t="s">
        <v>123</v>
      </c>
      <c r="Q34" s="17">
        <v>-1</v>
      </c>
      <c r="R34" s="17">
        <v>0.15</v>
      </c>
      <c r="T34" s="1" t="s">
        <v>116</v>
      </c>
      <c r="U34" s="5">
        <v>0</v>
      </c>
      <c r="V34" s="78">
        <v>0.2</v>
      </c>
      <c r="W34" s="5">
        <v>0.45</v>
      </c>
    </row>
    <row r="35" spans="1:34" x14ac:dyDescent="0.25">
      <c r="A35" s="1">
        <v>4033</v>
      </c>
      <c r="B35" s="11" t="b">
        <v>1</v>
      </c>
      <c r="C35" s="11" t="b">
        <v>1</v>
      </c>
      <c r="D35" s="118" t="str">
        <f>"Custom_RfG_Fault_1_"&amp;SUBSTITUTE(TEXT(V35,"0,0"),",",".")&amp;"pu_Plim_"&amp;SUBSTITUTE(TEXT(R35,"0,00"),",",".")&amp;"pu"</f>
        <v>Custom_RfG_Fault_1_0.2pu_Plim_0.15pu</v>
      </c>
      <c r="E35" s="5">
        <f t="shared" si="2"/>
        <v>0.02</v>
      </c>
      <c r="F35" s="5">
        <v>0.15</v>
      </c>
      <c r="G35" s="5" t="s">
        <v>105</v>
      </c>
      <c r="H35" s="5" t="s">
        <v>219</v>
      </c>
      <c r="I35" s="5" t="s">
        <v>105</v>
      </c>
      <c r="J35" s="5">
        <v>0</v>
      </c>
      <c r="K35" s="5" t="s">
        <v>105</v>
      </c>
      <c r="L35" s="21">
        <f t="shared" si="0"/>
        <v>10</v>
      </c>
      <c r="M35" s="21">
        <f t="shared" si="1"/>
        <v>0.5</v>
      </c>
      <c r="N35" s="21" t="s">
        <v>105</v>
      </c>
      <c r="O35" s="5">
        <v>20</v>
      </c>
      <c r="P35" s="18" t="s">
        <v>123</v>
      </c>
      <c r="Q35" s="17">
        <v>-1</v>
      </c>
      <c r="R35" s="17">
        <v>0.15</v>
      </c>
      <c r="T35" s="1" t="s">
        <v>117</v>
      </c>
      <c r="U35" s="5">
        <v>0</v>
      </c>
      <c r="V35" s="78">
        <v>0.2</v>
      </c>
      <c r="W35" s="5">
        <v>0.45</v>
      </c>
    </row>
    <row r="36" spans="1:34" x14ac:dyDescent="0.25">
      <c r="A36" s="1">
        <v>4034</v>
      </c>
      <c r="B36" s="11" t="b">
        <v>1</v>
      </c>
      <c r="C36" s="11" t="b">
        <v>1</v>
      </c>
      <c r="D36" s="118" t="str">
        <f t="shared" ref="D36:D37" si="16">"Custom_RfG_Ucontrol_Plim_"&amp;SUBSTITUTE(TEXT(R36,"0,00"),",",".")&amp;"pu"</f>
        <v>Custom_RfG_Ucontrol_Plim_1.00pu</v>
      </c>
      <c r="E36" s="5">
        <f t="shared" si="2"/>
        <v>0.02</v>
      </c>
      <c r="F36" s="5">
        <v>0.5</v>
      </c>
      <c r="G36" s="5" t="s">
        <v>105</v>
      </c>
      <c r="H36" s="5" t="s">
        <v>219</v>
      </c>
      <c r="I36" s="5" t="s">
        <v>110</v>
      </c>
      <c r="J36" s="5">
        <f t="shared" ref="J36:J38" si="17">inp_Uc/inp_Un</f>
        <v>0.02</v>
      </c>
      <c r="K36" s="5" t="s">
        <v>105</v>
      </c>
      <c r="L36" s="21">
        <f t="shared" si="0"/>
        <v>10</v>
      </c>
      <c r="M36" s="21">
        <f t="shared" si="1"/>
        <v>0.5</v>
      </c>
      <c r="N36" s="21" t="s">
        <v>105</v>
      </c>
      <c r="O36" s="5">
        <v>25</v>
      </c>
      <c r="P36" s="18" t="s">
        <v>123</v>
      </c>
      <c r="Q36" s="17">
        <v>-1</v>
      </c>
      <c r="R36" s="17">
        <v>1</v>
      </c>
      <c r="T36" s="1" t="s">
        <v>109</v>
      </c>
      <c r="U36" s="5">
        <v>0</v>
      </c>
      <c r="V36" s="5">
        <f>$J36*inp_Vdroop/100</f>
        <v>0.02</v>
      </c>
      <c r="W36" s="5"/>
      <c r="X36" s="18" t="s">
        <v>109</v>
      </c>
      <c r="Y36" s="17">
        <v>7</v>
      </c>
      <c r="Z36" s="17">
        <v>0</v>
      </c>
      <c r="AB36" s="1" t="s">
        <v>109</v>
      </c>
      <c r="AC36" s="5">
        <v>14</v>
      </c>
      <c r="AD36" s="5">
        <f>-$J36*inp_Vdroop/100</f>
        <v>-0.02</v>
      </c>
      <c r="AF36" s="18" t="s">
        <v>109</v>
      </c>
      <c r="AG36" s="17">
        <v>21</v>
      </c>
      <c r="AH36" s="17">
        <v>0</v>
      </c>
    </row>
    <row r="37" spans="1:34" x14ac:dyDescent="0.25">
      <c r="A37" s="1">
        <v>4035</v>
      </c>
      <c r="B37" s="11" t="b">
        <v>1</v>
      </c>
      <c r="C37" s="11" t="b">
        <v>1</v>
      </c>
      <c r="D37" s="118" t="str">
        <f t="shared" si="16"/>
        <v>Custom_RfG_Ucontrol_Plim_0.50pu</v>
      </c>
      <c r="E37" s="5">
        <f t="shared" si="2"/>
        <v>0.02</v>
      </c>
      <c r="F37" s="5">
        <v>0.5</v>
      </c>
      <c r="G37" s="5" t="s">
        <v>105</v>
      </c>
      <c r="H37" s="5" t="s">
        <v>219</v>
      </c>
      <c r="I37" s="5" t="s">
        <v>110</v>
      </c>
      <c r="J37" s="5">
        <f t="shared" si="17"/>
        <v>0.02</v>
      </c>
      <c r="K37" s="5" t="s">
        <v>105</v>
      </c>
      <c r="L37" s="21">
        <f t="shared" si="0"/>
        <v>10</v>
      </c>
      <c r="M37" s="21">
        <f t="shared" si="1"/>
        <v>0.5</v>
      </c>
      <c r="N37" s="21" t="s">
        <v>105</v>
      </c>
      <c r="O37" s="5">
        <v>25</v>
      </c>
      <c r="P37" s="18" t="s">
        <v>123</v>
      </c>
      <c r="Q37" s="17">
        <v>-1</v>
      </c>
      <c r="R37" s="17">
        <v>0.5</v>
      </c>
      <c r="T37" s="1" t="s">
        <v>109</v>
      </c>
      <c r="U37" s="5">
        <v>0</v>
      </c>
      <c r="V37" s="5">
        <f>$J37*inp_Vdroop/100</f>
        <v>0.02</v>
      </c>
      <c r="W37" s="5"/>
      <c r="X37" s="18" t="s">
        <v>109</v>
      </c>
      <c r="Y37" s="17">
        <v>7</v>
      </c>
      <c r="Z37" s="17">
        <v>0</v>
      </c>
      <c r="AB37" s="1" t="s">
        <v>109</v>
      </c>
      <c r="AC37" s="5">
        <v>14</v>
      </c>
      <c r="AD37" s="5">
        <f>-$J37*inp_Vdroop/100</f>
        <v>-0.02</v>
      </c>
      <c r="AF37" s="18" t="s">
        <v>109</v>
      </c>
      <c r="AG37" s="17">
        <v>21</v>
      </c>
      <c r="AH37" s="17">
        <v>0</v>
      </c>
    </row>
    <row r="38" spans="1:34" x14ac:dyDescent="0.25">
      <c r="A38" s="1">
        <v>4036</v>
      </c>
      <c r="B38" s="11" t="b">
        <v>1</v>
      </c>
      <c r="C38" s="11" t="b">
        <v>1</v>
      </c>
      <c r="D38" s="118" t="str">
        <f>"Custom_RfG_Ucontrol_Plim_"&amp;SUBSTITUTE(TEXT(R38,"0,00"),",",".")&amp;"pu"</f>
        <v>Custom_RfG_Ucontrol_Plim_0.15pu</v>
      </c>
      <c r="E38" s="5">
        <f t="shared" si="2"/>
        <v>0.02</v>
      </c>
      <c r="F38" s="5">
        <v>0.15</v>
      </c>
      <c r="G38" s="5" t="s">
        <v>105</v>
      </c>
      <c r="H38" s="5" t="s">
        <v>219</v>
      </c>
      <c r="I38" s="5" t="s">
        <v>110</v>
      </c>
      <c r="J38" s="5">
        <f t="shared" si="17"/>
        <v>0.02</v>
      </c>
      <c r="K38" s="5" t="s">
        <v>105</v>
      </c>
      <c r="L38" s="21">
        <f t="shared" si="0"/>
        <v>10</v>
      </c>
      <c r="M38" s="21">
        <f t="shared" si="1"/>
        <v>0.5</v>
      </c>
      <c r="N38" s="21" t="s">
        <v>105</v>
      </c>
      <c r="O38" s="5">
        <v>25</v>
      </c>
      <c r="P38" s="18" t="s">
        <v>123</v>
      </c>
      <c r="Q38" s="17">
        <v>-1</v>
      </c>
      <c r="R38" s="17">
        <v>0.15</v>
      </c>
      <c r="T38" s="1" t="s">
        <v>109</v>
      </c>
      <c r="U38" s="5">
        <v>0</v>
      </c>
      <c r="V38" s="5">
        <f>$J38*inp_Vdroop/100</f>
        <v>0.02</v>
      </c>
      <c r="W38" s="5"/>
      <c r="X38" s="18" t="s">
        <v>109</v>
      </c>
      <c r="Y38" s="17">
        <v>7</v>
      </c>
      <c r="Z38" s="17">
        <v>0</v>
      </c>
      <c r="AB38" s="1" t="s">
        <v>109</v>
      </c>
      <c r="AC38" s="5">
        <v>14</v>
      </c>
      <c r="AD38" s="5">
        <f>-$J38*inp_Vdroop/100</f>
        <v>-0.02</v>
      </c>
      <c r="AF38" s="18" t="s">
        <v>109</v>
      </c>
      <c r="AG38" s="17">
        <v>21</v>
      </c>
      <c r="AH38" s="17">
        <v>0</v>
      </c>
    </row>
    <row r="39" spans="1:34" x14ac:dyDescent="0.25">
      <c r="A39" s="1">
        <v>4037</v>
      </c>
      <c r="B39" s="11" t="b">
        <v>1</v>
      </c>
      <c r="C39" s="11" t="b">
        <v>1</v>
      </c>
      <c r="D39" s="118" t="str">
        <f>"Custom_Fault_3_"&amp;SUBSTITUTE(TEXT(R39,"0,00"),",",".")&amp;"pu_U0_"&amp;SUBSTITUTE(TEXT(E39,"0,000"),",",".")&amp;"pu"</f>
        <v>Custom_Fault_3_0.20pu_U0_1.118pu</v>
      </c>
      <c r="E39" s="5">
        <f>sel_uq_q0.33ue_umax</f>
        <v>1.1180000000000001</v>
      </c>
      <c r="F39" s="5">
        <v>1</v>
      </c>
      <c r="G39" s="5" t="s">
        <v>105</v>
      </c>
      <c r="H39" s="5" t="s">
        <v>219</v>
      </c>
      <c r="I39" s="5" t="s">
        <v>105</v>
      </c>
      <c r="J39" s="5">
        <v>0</v>
      </c>
      <c r="K39" s="5" t="s">
        <v>105</v>
      </c>
      <c r="L39" s="21">
        <f t="shared" si="0"/>
        <v>10</v>
      </c>
      <c r="M39" s="21">
        <f t="shared" si="1"/>
        <v>0.5</v>
      </c>
      <c r="N39" s="21" t="s">
        <v>105</v>
      </c>
      <c r="O39" s="5">
        <v>12</v>
      </c>
      <c r="P39" s="18" t="s">
        <v>115</v>
      </c>
      <c r="Q39" s="17">
        <v>0</v>
      </c>
      <c r="R39" s="71">
        <v>0.2</v>
      </c>
      <c r="S39" s="17">
        <v>0.45</v>
      </c>
    </row>
    <row r="40" spans="1:34" x14ac:dyDescent="0.25">
      <c r="A40" s="1">
        <v>4038</v>
      </c>
      <c r="B40" s="11" t="b">
        <v>1</v>
      </c>
      <c r="C40" s="11" t="b">
        <v>1</v>
      </c>
      <c r="D40" s="118" t="str">
        <f>"Custom_Fault_2_"&amp;SUBSTITUTE(TEXT(R40,"0,00"),",",".")&amp;"pu_U0_"&amp;SUBSTITUTE(TEXT(E40,"0,000"),",",".")&amp;"pu"</f>
        <v>Custom_Fault_2_0.20pu_U0_1.118pu</v>
      </c>
      <c r="E40" s="5">
        <f>sel_uq_q0.33ue_umax</f>
        <v>1.1180000000000001</v>
      </c>
      <c r="F40" s="5">
        <v>1</v>
      </c>
      <c r="G40" s="5" t="s">
        <v>105</v>
      </c>
      <c r="H40" s="5" t="s">
        <v>219</v>
      </c>
      <c r="I40" s="5" t="s">
        <v>105</v>
      </c>
      <c r="J40" s="5">
        <v>0</v>
      </c>
      <c r="K40" s="5" t="s">
        <v>105</v>
      </c>
      <c r="L40" s="21">
        <f t="shared" si="0"/>
        <v>10</v>
      </c>
      <c r="M40" s="21">
        <f t="shared" si="1"/>
        <v>0.5</v>
      </c>
      <c r="N40" s="21" t="s">
        <v>105</v>
      </c>
      <c r="O40" s="5">
        <v>12</v>
      </c>
      <c r="P40" s="18" t="s">
        <v>116</v>
      </c>
      <c r="Q40" s="17">
        <v>0</v>
      </c>
      <c r="R40" s="71">
        <v>0.2</v>
      </c>
      <c r="S40" s="17">
        <v>0.45</v>
      </c>
    </row>
    <row r="41" spans="1:34" x14ac:dyDescent="0.25">
      <c r="A41" s="1">
        <v>4039</v>
      </c>
      <c r="B41" s="11" t="b">
        <v>1</v>
      </c>
      <c r="C41" s="11" t="b">
        <v>1</v>
      </c>
      <c r="D41" s="118" t="str">
        <f>"Custom_Fault_1_"&amp;SUBSTITUTE(TEXT(R41,"0,00"),",",".")&amp;"pu_U0_"&amp;SUBSTITUTE(TEXT(E41,"0,000"),",",".")&amp;"pu"</f>
        <v>Custom_Fault_1_0.20pu_U0_1.118pu</v>
      </c>
      <c r="E41" s="5">
        <f>sel_uq_q0.33ue_umax</f>
        <v>1.1180000000000001</v>
      </c>
      <c r="F41" s="5">
        <v>1</v>
      </c>
      <c r="G41" s="5" t="s">
        <v>105</v>
      </c>
      <c r="H41" s="5" t="s">
        <v>219</v>
      </c>
      <c r="I41" s="5" t="s">
        <v>105</v>
      </c>
      <c r="J41" s="5">
        <v>0</v>
      </c>
      <c r="K41" s="5" t="s">
        <v>105</v>
      </c>
      <c r="L41" s="21">
        <f t="shared" si="0"/>
        <v>10</v>
      </c>
      <c r="M41" s="21">
        <f t="shared" si="1"/>
        <v>0.5</v>
      </c>
      <c r="N41" s="21" t="s">
        <v>105</v>
      </c>
      <c r="O41" s="5">
        <v>12</v>
      </c>
      <c r="P41" s="18" t="s">
        <v>117</v>
      </c>
      <c r="Q41" s="17">
        <v>0</v>
      </c>
      <c r="R41" s="71">
        <v>0.2</v>
      </c>
      <c r="S41" s="17">
        <v>0.45</v>
      </c>
    </row>
    <row r="42" spans="1:34" x14ac:dyDescent="0.25">
      <c r="A42" s="1">
        <v>4040</v>
      </c>
      <c r="B42" s="11" t="b">
        <v>1</v>
      </c>
      <c r="C42" s="11" t="b">
        <v>1</v>
      </c>
      <c r="D42" s="118" t="str">
        <f>"Custom_Fault_3_"&amp;SUBSTITUTE(TEXT(R42,"0,00"),",",".")&amp;"pu_U0_"&amp;SUBSTITUTE(TEXT(E42,"0,000"),",",".")&amp;"pu"</f>
        <v>Custom_Fault_3_0.20pu_U0_0.968pu</v>
      </c>
      <c r="E42" s="5">
        <f>sel_uq_q0.33_umin</f>
        <v>0.96799999999999997</v>
      </c>
      <c r="F42" s="5">
        <v>1</v>
      </c>
      <c r="G42" s="5" t="s">
        <v>105</v>
      </c>
      <c r="H42" s="5" t="s">
        <v>219</v>
      </c>
      <c r="I42" s="5" t="s">
        <v>105</v>
      </c>
      <c r="J42" s="5">
        <v>0</v>
      </c>
      <c r="K42" s="5" t="s">
        <v>105</v>
      </c>
      <c r="L42" s="21">
        <f t="shared" si="0"/>
        <v>10</v>
      </c>
      <c r="M42" s="21">
        <f t="shared" si="1"/>
        <v>0.5</v>
      </c>
      <c r="N42" s="21" t="s">
        <v>105</v>
      </c>
      <c r="O42" s="5">
        <v>12</v>
      </c>
      <c r="P42" s="18" t="s">
        <v>115</v>
      </c>
      <c r="Q42" s="17">
        <v>0</v>
      </c>
      <c r="R42" s="71">
        <v>0.2</v>
      </c>
      <c r="S42" s="17">
        <v>0.45</v>
      </c>
    </row>
    <row r="43" spans="1:34" x14ac:dyDescent="0.25">
      <c r="A43" s="1">
        <v>4041</v>
      </c>
      <c r="B43" s="11" t="b">
        <v>1</v>
      </c>
      <c r="C43" s="11" t="b">
        <v>1</v>
      </c>
      <c r="D43" s="118" t="str">
        <f>"Custom_Fault_2_"&amp;SUBSTITUTE(TEXT(R43,"0,00"),",",".")&amp;"pu_U0_"&amp;SUBSTITUTE(TEXT(E43,"0,000"),",",".")&amp;"pu"</f>
        <v>Custom_Fault_2_0.20pu_U0_0.968pu</v>
      </c>
      <c r="E43" s="5">
        <f>sel_uq_q0.33_umin</f>
        <v>0.96799999999999997</v>
      </c>
      <c r="F43" s="5">
        <v>1</v>
      </c>
      <c r="G43" s="5" t="s">
        <v>105</v>
      </c>
      <c r="H43" s="5" t="s">
        <v>219</v>
      </c>
      <c r="I43" s="5" t="s">
        <v>105</v>
      </c>
      <c r="J43" s="5">
        <v>0</v>
      </c>
      <c r="K43" s="5" t="s">
        <v>105</v>
      </c>
      <c r="L43" s="21">
        <f t="shared" si="0"/>
        <v>10</v>
      </c>
      <c r="M43" s="21">
        <f t="shared" si="1"/>
        <v>0.5</v>
      </c>
      <c r="N43" s="21" t="s">
        <v>105</v>
      </c>
      <c r="O43" s="5">
        <v>12</v>
      </c>
      <c r="P43" s="18" t="s">
        <v>116</v>
      </c>
      <c r="Q43" s="17">
        <v>0</v>
      </c>
      <c r="R43" s="71">
        <v>0.2</v>
      </c>
      <c r="S43" s="17">
        <v>0.45</v>
      </c>
    </row>
    <row r="44" spans="1:34" x14ac:dyDescent="0.25">
      <c r="A44" s="1">
        <v>4042</v>
      </c>
      <c r="B44" s="11" t="b">
        <v>1</v>
      </c>
      <c r="C44" s="11" t="b">
        <v>1</v>
      </c>
      <c r="D44" s="118" t="str">
        <f>"Custom_Fault_1_"&amp;SUBSTITUTE(TEXT(R44,"0,00"),",",".")&amp;"pu_U0_"&amp;SUBSTITUTE(TEXT(E44,"0,000"),",",".")&amp;"pu"</f>
        <v>Custom_Fault_1_0.20pu_U0_0.968pu</v>
      </c>
      <c r="E44" s="5">
        <f>sel_uq_q0.33_umin</f>
        <v>0.96799999999999997</v>
      </c>
      <c r="F44" s="5">
        <v>1</v>
      </c>
      <c r="G44" s="5" t="s">
        <v>105</v>
      </c>
      <c r="H44" s="5" t="s">
        <v>219</v>
      </c>
      <c r="I44" s="5" t="s">
        <v>105</v>
      </c>
      <c r="J44" s="5">
        <v>0</v>
      </c>
      <c r="K44" s="5" t="s">
        <v>105</v>
      </c>
      <c r="L44" s="21">
        <f t="shared" si="0"/>
        <v>10</v>
      </c>
      <c r="M44" s="21">
        <f t="shared" si="1"/>
        <v>0.5</v>
      </c>
      <c r="N44" s="21" t="s">
        <v>105</v>
      </c>
      <c r="O44" s="5">
        <v>12</v>
      </c>
      <c r="P44" s="18" t="s">
        <v>117</v>
      </c>
      <c r="Q44" s="17">
        <v>0</v>
      </c>
      <c r="R44" s="71">
        <v>0.2</v>
      </c>
      <c r="S44" s="17">
        <v>0.45</v>
      </c>
    </row>
    <row r="45" spans="1:34" x14ac:dyDescent="0.25">
      <c r="A45" s="1">
        <v>4043</v>
      </c>
      <c r="B45" s="11" t="b">
        <v>1</v>
      </c>
      <c r="C45" s="11" t="b">
        <v>1</v>
      </c>
      <c r="D45" s="118" t="str">
        <f>"Custom_Fault_3_U0_"&amp;SUBSTITUTE(TEXT(E45,"0,000"),",",".")&amp;"_Uend_"&amp;SUBSTITUTE(TEXT(V45,"0,000"),",",".")</f>
        <v>Custom_Fault_3_U0_1.118_Uend_0.020</v>
      </c>
      <c r="E45" s="5">
        <f>sel_uq_q0.33ue_umax</f>
        <v>1.1180000000000001</v>
      </c>
      <c r="F45" s="5">
        <v>1</v>
      </c>
      <c r="G45" s="5" t="s">
        <v>105</v>
      </c>
      <c r="H45" s="5" t="s">
        <v>219</v>
      </c>
      <c r="I45" s="5" t="s">
        <v>105</v>
      </c>
      <c r="J45" s="5">
        <v>0</v>
      </c>
      <c r="K45" s="5" t="s">
        <v>105</v>
      </c>
      <c r="L45" s="21">
        <f t="shared" si="0"/>
        <v>10</v>
      </c>
      <c r="M45" s="21">
        <f t="shared" si="1"/>
        <v>0.5</v>
      </c>
      <c r="N45" s="21" t="s">
        <v>105</v>
      </c>
      <c r="O45" s="5">
        <v>12</v>
      </c>
      <c r="P45" s="18" t="s">
        <v>115</v>
      </c>
      <c r="Q45" s="17">
        <v>0</v>
      </c>
      <c r="R45" s="71">
        <v>0.2</v>
      </c>
      <c r="S45" s="17">
        <v>0.45</v>
      </c>
      <c r="T45" s="1" t="s">
        <v>108</v>
      </c>
      <c r="U45" s="5">
        <v>0.45</v>
      </c>
      <c r="V45" s="5">
        <f t="shared" ref="V45:V51" si="18">inp_Uc/inp_Un</f>
        <v>0.02</v>
      </c>
      <c r="W45" s="5">
        <v>0</v>
      </c>
    </row>
    <row r="46" spans="1:34" x14ac:dyDescent="0.25">
      <c r="A46" s="1">
        <v>4044</v>
      </c>
      <c r="B46" s="11" t="b">
        <v>1</v>
      </c>
      <c r="C46" s="11" t="b">
        <v>1</v>
      </c>
      <c r="D46" s="118" t="str">
        <f>"Custom_Fault_2_U0_"&amp;SUBSTITUTE(TEXT(E46,"0,000"),",",".")&amp;"_Uend_"&amp;SUBSTITUTE(TEXT(V46,"0,000"),",",".")</f>
        <v>Custom_Fault_2_U0_1.118_Uend_0.020</v>
      </c>
      <c r="E46" s="5">
        <f>sel_uq_q0.33ue_umax</f>
        <v>1.1180000000000001</v>
      </c>
      <c r="F46" s="5">
        <v>1</v>
      </c>
      <c r="G46" s="5" t="s">
        <v>105</v>
      </c>
      <c r="H46" s="5" t="s">
        <v>219</v>
      </c>
      <c r="I46" s="5" t="s">
        <v>105</v>
      </c>
      <c r="J46" s="5">
        <v>0</v>
      </c>
      <c r="K46" s="5" t="s">
        <v>105</v>
      </c>
      <c r="L46" s="21">
        <f t="shared" si="0"/>
        <v>10</v>
      </c>
      <c r="M46" s="21">
        <f t="shared" si="1"/>
        <v>0.5</v>
      </c>
      <c r="N46" s="21" t="s">
        <v>105</v>
      </c>
      <c r="O46" s="5">
        <v>12</v>
      </c>
      <c r="P46" s="18" t="s">
        <v>116</v>
      </c>
      <c r="Q46" s="17">
        <v>0</v>
      </c>
      <c r="R46" s="71">
        <v>0.2</v>
      </c>
      <c r="S46" s="17">
        <v>0.45</v>
      </c>
      <c r="T46" s="1" t="s">
        <v>108</v>
      </c>
      <c r="U46" s="5">
        <v>0.45</v>
      </c>
      <c r="V46" s="5">
        <f t="shared" si="18"/>
        <v>0.02</v>
      </c>
      <c r="W46" s="5">
        <v>0</v>
      </c>
    </row>
    <row r="47" spans="1:34" x14ac:dyDescent="0.25">
      <c r="A47" s="1">
        <v>4045</v>
      </c>
      <c r="B47" s="11" t="b">
        <v>1</v>
      </c>
      <c r="C47" s="11" t="b">
        <v>1</v>
      </c>
      <c r="D47" s="118" t="str">
        <f>"Custom_Fault_1_U0_"&amp;SUBSTITUTE(TEXT(E47,"0,000"),",",".")&amp;"_Uend_"&amp;SUBSTITUTE(TEXT(V47,"0,000"),",",".")</f>
        <v>Custom_Fault_1_U0_1.118_Uend_0.020</v>
      </c>
      <c r="E47" s="5">
        <f>sel_uq_q0.33ue_umax</f>
        <v>1.1180000000000001</v>
      </c>
      <c r="F47" s="5">
        <v>1</v>
      </c>
      <c r="G47" s="5" t="s">
        <v>105</v>
      </c>
      <c r="H47" s="5" t="s">
        <v>219</v>
      </c>
      <c r="I47" s="5" t="s">
        <v>105</v>
      </c>
      <c r="J47" s="5">
        <v>0</v>
      </c>
      <c r="K47" s="5" t="s">
        <v>105</v>
      </c>
      <c r="L47" s="21">
        <f t="shared" si="0"/>
        <v>10</v>
      </c>
      <c r="M47" s="21">
        <f t="shared" si="1"/>
        <v>0.5</v>
      </c>
      <c r="N47" s="21" t="s">
        <v>105</v>
      </c>
      <c r="O47" s="5">
        <v>12</v>
      </c>
      <c r="P47" s="18" t="s">
        <v>117</v>
      </c>
      <c r="Q47" s="17">
        <v>0</v>
      </c>
      <c r="R47" s="71">
        <v>0.2</v>
      </c>
      <c r="S47" s="17">
        <v>0.45</v>
      </c>
      <c r="T47" s="1" t="s">
        <v>108</v>
      </c>
      <c r="U47" s="5">
        <v>0.45</v>
      </c>
      <c r="V47" s="5">
        <f t="shared" si="18"/>
        <v>0.02</v>
      </c>
      <c r="W47" s="5">
        <v>0</v>
      </c>
    </row>
    <row r="48" spans="1:34" x14ac:dyDescent="0.25">
      <c r="A48" s="1">
        <v>4046</v>
      </c>
      <c r="B48" s="11" t="b">
        <v>1</v>
      </c>
      <c r="C48" s="11" t="b">
        <v>1</v>
      </c>
      <c r="D48" s="118" t="str">
        <f>"Custom_Fault_3_U0_"&amp;SUBSTITUTE(TEXT(E48,"0,000"),",",".")&amp;"_Uend_"&amp;SUBSTITUTE(TEXT(V48,"0,000"),",",".")</f>
        <v>Custom_Fault_3_U0_1.118_Uend_0.968</v>
      </c>
      <c r="E48" s="5">
        <f>sel_uq_q0.33ue_umax</f>
        <v>1.1180000000000001</v>
      </c>
      <c r="F48" s="5">
        <v>1</v>
      </c>
      <c r="G48" s="5" t="s">
        <v>105</v>
      </c>
      <c r="H48" s="5" t="s">
        <v>219</v>
      </c>
      <c r="I48" s="5" t="s">
        <v>105</v>
      </c>
      <c r="J48" s="5">
        <v>0</v>
      </c>
      <c r="K48" s="5" t="s">
        <v>105</v>
      </c>
      <c r="L48" s="21">
        <f t="shared" si="0"/>
        <v>10</v>
      </c>
      <c r="M48" s="21">
        <f t="shared" si="1"/>
        <v>0.5</v>
      </c>
      <c r="N48" s="21" t="s">
        <v>105</v>
      </c>
      <c r="O48" s="5">
        <v>12</v>
      </c>
      <c r="P48" s="18" t="s">
        <v>115</v>
      </c>
      <c r="Q48" s="17">
        <v>0</v>
      </c>
      <c r="R48" s="71">
        <v>0.2</v>
      </c>
      <c r="S48" s="17">
        <v>0.45</v>
      </c>
      <c r="T48" s="1" t="s">
        <v>108</v>
      </c>
      <c r="U48" s="5">
        <v>0.45</v>
      </c>
      <c r="V48" s="5">
        <f>sel_uq_q0.33_umin</f>
        <v>0.96799999999999997</v>
      </c>
      <c r="W48" s="5">
        <v>0</v>
      </c>
    </row>
    <row r="49" spans="1:30" x14ac:dyDescent="0.25">
      <c r="A49" s="1">
        <v>4047</v>
      </c>
      <c r="B49" s="11" t="b">
        <v>1</v>
      </c>
      <c r="C49" s="11" t="b">
        <v>1</v>
      </c>
      <c r="D49" s="118" t="str">
        <f>"Custom_Fault_3_U0_"&amp;SUBSTITUTE(TEXT(E49,"0,000"),",",".")&amp;"_Uend_"&amp;SUBSTITUTE(TEXT(V49,"0,000"),",",".")</f>
        <v>Custom_Fault_3_U0_0.018_Uend_0.020</v>
      </c>
      <c r="E49" s="5">
        <f>inp_Uc/inp_Un * sel_contop_umin</f>
        <v>1.8000000000000002E-2</v>
      </c>
      <c r="F49" s="5">
        <v>1</v>
      </c>
      <c r="G49" s="5" t="s">
        <v>105</v>
      </c>
      <c r="H49" s="5" t="s">
        <v>219</v>
      </c>
      <c r="I49" s="5" t="s">
        <v>105</v>
      </c>
      <c r="J49" s="5">
        <v>0</v>
      </c>
      <c r="K49" s="5" t="s">
        <v>105</v>
      </c>
      <c r="L49" s="21">
        <f t="shared" si="0"/>
        <v>10</v>
      </c>
      <c r="M49" s="21">
        <f t="shared" si="1"/>
        <v>0.5</v>
      </c>
      <c r="N49" s="21" t="s">
        <v>105</v>
      </c>
      <c r="O49" s="5">
        <v>12</v>
      </c>
      <c r="P49" s="18" t="s">
        <v>115</v>
      </c>
      <c r="Q49" s="17">
        <v>0</v>
      </c>
      <c r="R49" s="71">
        <v>0.2</v>
      </c>
      <c r="S49" s="17">
        <v>0.45</v>
      </c>
      <c r="T49" s="1" t="s">
        <v>108</v>
      </c>
      <c r="U49" s="5">
        <v>0.45</v>
      </c>
      <c r="V49" s="5">
        <f t="shared" si="18"/>
        <v>0.02</v>
      </c>
      <c r="W49" s="5">
        <v>0</v>
      </c>
    </row>
    <row r="50" spans="1:30" x14ac:dyDescent="0.25">
      <c r="A50" s="1">
        <v>4048</v>
      </c>
      <c r="B50" s="11" t="b">
        <v>1</v>
      </c>
      <c r="C50" s="11" t="b">
        <v>1</v>
      </c>
      <c r="D50" s="118" t="str">
        <f>"Custom_Fault_2_U0_"&amp;SUBSTITUTE(TEXT(E50,"0,000"),",",".")&amp;"_Uend_"&amp;SUBSTITUTE(TEXT(V50,"0,000"),",",".")</f>
        <v>Custom_Fault_2_U0_0.018_Uend_0.020</v>
      </c>
      <c r="E50" s="5">
        <f>inp_Uc/inp_Un * sel_contop_umin</f>
        <v>1.8000000000000002E-2</v>
      </c>
      <c r="F50" s="5">
        <v>1</v>
      </c>
      <c r="G50" s="5" t="s">
        <v>105</v>
      </c>
      <c r="H50" s="5" t="s">
        <v>219</v>
      </c>
      <c r="I50" s="5" t="s">
        <v>105</v>
      </c>
      <c r="J50" s="5">
        <v>0</v>
      </c>
      <c r="K50" s="5" t="s">
        <v>105</v>
      </c>
      <c r="L50" s="21">
        <f t="shared" si="0"/>
        <v>10</v>
      </c>
      <c r="M50" s="21">
        <f t="shared" si="1"/>
        <v>0.5</v>
      </c>
      <c r="N50" s="21" t="s">
        <v>105</v>
      </c>
      <c r="O50" s="5">
        <v>12</v>
      </c>
      <c r="P50" s="18" t="s">
        <v>116</v>
      </c>
      <c r="Q50" s="17">
        <v>0</v>
      </c>
      <c r="R50" s="71">
        <v>0.2</v>
      </c>
      <c r="S50" s="17">
        <v>0.45</v>
      </c>
      <c r="T50" s="1" t="s">
        <v>108</v>
      </c>
      <c r="U50" s="5">
        <v>0.45</v>
      </c>
      <c r="V50" s="5">
        <f t="shared" si="18"/>
        <v>0.02</v>
      </c>
      <c r="W50" s="5">
        <v>0</v>
      </c>
    </row>
    <row r="51" spans="1:30" x14ac:dyDescent="0.25">
      <c r="A51" s="1">
        <v>4049</v>
      </c>
      <c r="B51" s="11" t="b">
        <v>1</v>
      </c>
      <c r="C51" s="11" t="b">
        <v>1</v>
      </c>
      <c r="D51" s="118" t="str">
        <f>"Custom_Fault_1_U0_"&amp;SUBSTITUTE(TEXT(E51,"0,000"),",",".")&amp;"_Uend_"&amp;SUBSTITUTE(TEXT(V51,"0,000"),",",".")</f>
        <v>Custom_Fault_1_U0_0.018_Uend_0.020</v>
      </c>
      <c r="E51" s="5">
        <f>inp_Uc/inp_Un * sel_contop_umin</f>
        <v>1.8000000000000002E-2</v>
      </c>
      <c r="F51" s="5">
        <v>1</v>
      </c>
      <c r="G51" s="5" t="s">
        <v>105</v>
      </c>
      <c r="H51" s="5" t="s">
        <v>219</v>
      </c>
      <c r="I51" s="5" t="s">
        <v>105</v>
      </c>
      <c r="J51" s="5">
        <v>0</v>
      </c>
      <c r="K51" s="5" t="s">
        <v>105</v>
      </c>
      <c r="L51" s="21">
        <f t="shared" ref="L51:L61" si="19">inp_scr_min</f>
        <v>10</v>
      </c>
      <c r="M51" s="21">
        <f t="shared" ref="M51:M89" si="20">inp_xr_min</f>
        <v>0.5</v>
      </c>
      <c r="N51" s="21" t="s">
        <v>105</v>
      </c>
      <c r="O51" s="5">
        <v>12</v>
      </c>
      <c r="P51" s="18" t="s">
        <v>117</v>
      </c>
      <c r="Q51" s="17">
        <v>0</v>
      </c>
      <c r="R51" s="71">
        <v>0.2</v>
      </c>
      <c r="S51" s="17">
        <v>0.45</v>
      </c>
      <c r="T51" s="1" t="s">
        <v>108</v>
      </c>
      <c r="U51" s="5">
        <v>0.45</v>
      </c>
      <c r="V51" s="5">
        <f t="shared" si="18"/>
        <v>0.02</v>
      </c>
      <c r="W51" s="5">
        <v>0</v>
      </c>
    </row>
    <row r="52" spans="1:30" x14ac:dyDescent="0.25">
      <c r="A52" s="1">
        <v>4050</v>
      </c>
      <c r="B52" s="11" t="b">
        <v>1</v>
      </c>
      <c r="C52" s="11" t="b">
        <v>1</v>
      </c>
      <c r="D52" s="118" t="str">
        <f>"Custom_Fault_3_U0_"&amp;SUBSTITUTE(TEXT(E52,"0,000"),",",".")&amp;"_Uend_"&amp;SUBSTITUTE(TEXT(V52,"0,000"),",",".")</f>
        <v>Custom_Fault_3_U0_0.018_Uend_1.118</v>
      </c>
      <c r="E52" s="5">
        <f>inp_Uc/inp_Un * sel_contop_umin</f>
        <v>1.8000000000000002E-2</v>
      </c>
      <c r="F52" s="5">
        <v>1</v>
      </c>
      <c r="G52" s="5" t="s">
        <v>105</v>
      </c>
      <c r="H52" s="5" t="s">
        <v>219</v>
      </c>
      <c r="I52" s="5" t="s">
        <v>105</v>
      </c>
      <c r="J52" s="5">
        <v>0</v>
      </c>
      <c r="K52" s="5" t="s">
        <v>105</v>
      </c>
      <c r="L52" s="21">
        <f t="shared" si="0"/>
        <v>10</v>
      </c>
      <c r="M52" s="21">
        <f t="shared" si="1"/>
        <v>0.5</v>
      </c>
      <c r="N52" s="21" t="s">
        <v>105</v>
      </c>
      <c r="O52" s="5">
        <v>12</v>
      </c>
      <c r="P52" s="18" t="s">
        <v>115</v>
      </c>
      <c r="Q52" s="17">
        <v>0</v>
      </c>
      <c r="R52" s="71">
        <v>0.2</v>
      </c>
      <c r="S52" s="17">
        <v>0.45</v>
      </c>
      <c r="T52" s="1" t="s">
        <v>108</v>
      </c>
      <c r="U52" s="5">
        <v>0.45</v>
      </c>
      <c r="V52" s="5">
        <f>sel_uq_q0.33ue_umax</f>
        <v>1.1180000000000001</v>
      </c>
      <c r="W52" s="5">
        <v>0</v>
      </c>
    </row>
    <row r="53" spans="1:30" x14ac:dyDescent="0.25">
      <c r="A53" s="1">
        <v>4051</v>
      </c>
      <c r="B53" s="11" t="b">
        <v>1</v>
      </c>
      <c r="C53" s="11" t="b">
        <v>1</v>
      </c>
      <c r="D53" s="118" t="str">
        <f>"Custom_Fault_3_U0_"&amp;SUBSTITUTE(TEXT(E53,"0,000"),",",".")&amp;"_Uend_"&amp;SUBSTITUTE(TEXT(V53,"0,000"),",",".")</f>
        <v>Custom_Fault_3_U0_1.118_Uend_0.900</v>
      </c>
      <c r="E53" s="5">
        <f>sel_uq_q0.33ue_umax</f>
        <v>1.1180000000000001</v>
      </c>
      <c r="F53" s="5">
        <v>1</v>
      </c>
      <c r="G53" s="5" t="s">
        <v>105</v>
      </c>
      <c r="H53" s="5" t="s">
        <v>219</v>
      </c>
      <c r="I53" s="5" t="s">
        <v>105</v>
      </c>
      <c r="J53" s="5">
        <v>0</v>
      </c>
      <c r="K53" s="5" t="s">
        <v>105</v>
      </c>
      <c r="L53" s="21">
        <f t="shared" si="0"/>
        <v>10</v>
      </c>
      <c r="M53" s="21">
        <f t="shared" si="1"/>
        <v>0.5</v>
      </c>
      <c r="N53" s="21" t="s">
        <v>105</v>
      </c>
      <c r="O53" s="5">
        <v>12</v>
      </c>
      <c r="P53" s="18" t="s">
        <v>115</v>
      </c>
      <c r="Q53" s="17">
        <v>0</v>
      </c>
      <c r="R53" s="71">
        <v>0.2</v>
      </c>
      <c r="S53" s="17">
        <v>0.45</v>
      </c>
      <c r="T53" s="1" t="s">
        <v>108</v>
      </c>
      <c r="U53" s="5">
        <v>0.45</v>
      </c>
      <c r="V53" s="5">
        <f>sel_contop_umin</f>
        <v>0.9</v>
      </c>
      <c r="W53" s="5">
        <v>0</v>
      </c>
    </row>
    <row r="54" spans="1:30" x14ac:dyDescent="0.25">
      <c r="A54" s="1">
        <v>4052</v>
      </c>
      <c r="B54" s="11" t="b">
        <v>1</v>
      </c>
      <c r="C54" s="11" t="b">
        <v>1</v>
      </c>
      <c r="D54" s="118" t="str">
        <f>"Custom_Fault_3_U0_"&amp;SUBSTITUTE(TEXT(E54,"0,000"),",",".")&amp;"_Uend_"&amp;SUBSTITUTE(TEXT(V54,"0,000"),",",".")</f>
        <v>Custom_Fault_3_U0_0.020_Uend_0.900</v>
      </c>
      <c r="E54" s="5">
        <f t="shared" ref="E54" si="21">inp_Uc/inp_Un</f>
        <v>0.02</v>
      </c>
      <c r="F54" s="5">
        <v>1</v>
      </c>
      <c r="G54" s="5" t="s">
        <v>105</v>
      </c>
      <c r="H54" s="5" t="s">
        <v>219</v>
      </c>
      <c r="I54" s="5" t="s">
        <v>105</v>
      </c>
      <c r="J54" s="5">
        <v>0</v>
      </c>
      <c r="K54" s="5" t="s">
        <v>105</v>
      </c>
      <c r="L54" s="21">
        <f t="shared" si="0"/>
        <v>10</v>
      </c>
      <c r="M54" s="21">
        <f t="shared" si="1"/>
        <v>0.5</v>
      </c>
      <c r="N54" s="21" t="s">
        <v>105</v>
      </c>
      <c r="O54" s="5">
        <v>12</v>
      </c>
      <c r="P54" s="18" t="s">
        <v>115</v>
      </c>
      <c r="Q54" s="17">
        <v>0</v>
      </c>
      <c r="R54" s="71">
        <v>0.2</v>
      </c>
      <c r="S54" s="17">
        <v>0.45</v>
      </c>
      <c r="T54" s="1" t="s">
        <v>108</v>
      </c>
      <c r="U54" s="5">
        <v>0.45</v>
      </c>
      <c r="V54" s="5">
        <f>sel_contop_umin</f>
        <v>0.9</v>
      </c>
      <c r="W54" s="5">
        <v>0</v>
      </c>
    </row>
    <row r="55" spans="1:30" x14ac:dyDescent="0.25">
      <c r="A55" s="1">
        <v>4053</v>
      </c>
      <c r="B55" s="11" t="b">
        <v>1</v>
      </c>
      <c r="C55" s="11" t="b">
        <v>1</v>
      </c>
      <c r="D55" s="118" t="str">
        <f>"Custom_Fault_3_U0_"&amp;SUBSTITUTE(TEXT(E55,"0,000"),",",".")&amp;"_Uend_"&amp;SUBSTITUTE(TEXT(V55,"0,000"),",",".")</f>
        <v>Custom_Fault_3_U0_0.018_Uend_0.900</v>
      </c>
      <c r="E55" s="5">
        <f>inp_Uc/inp_Un * sel_contop_umin</f>
        <v>1.8000000000000002E-2</v>
      </c>
      <c r="F55" s="5">
        <v>1</v>
      </c>
      <c r="G55" s="5" t="s">
        <v>105</v>
      </c>
      <c r="H55" s="5" t="s">
        <v>219</v>
      </c>
      <c r="I55" s="5" t="s">
        <v>105</v>
      </c>
      <c r="J55" s="5">
        <v>0</v>
      </c>
      <c r="K55" s="5" t="s">
        <v>105</v>
      </c>
      <c r="L55" s="21">
        <f t="shared" si="0"/>
        <v>10</v>
      </c>
      <c r="M55" s="21">
        <f t="shared" si="1"/>
        <v>0.5</v>
      </c>
      <c r="N55" s="21" t="s">
        <v>105</v>
      </c>
      <c r="O55" s="5">
        <v>12</v>
      </c>
      <c r="P55" s="18" t="s">
        <v>115</v>
      </c>
      <c r="Q55" s="17">
        <v>0</v>
      </c>
      <c r="R55" s="71">
        <v>0.2</v>
      </c>
      <c r="S55" s="17">
        <v>0.45</v>
      </c>
      <c r="T55" s="1" t="s">
        <v>108</v>
      </c>
      <c r="U55" s="5">
        <v>0.45</v>
      </c>
      <c r="V55" s="5">
        <f>sel_contop_umin</f>
        <v>0.9</v>
      </c>
      <c r="W55" s="5">
        <v>0</v>
      </c>
    </row>
    <row r="56" spans="1:30" x14ac:dyDescent="0.25">
      <c r="A56" s="1">
        <v>4054</v>
      </c>
      <c r="B56" s="11" t="b">
        <v>1</v>
      </c>
      <c r="C56" s="11" t="b">
        <v>1</v>
      </c>
      <c r="D56" s="118" t="str">
        <f t="shared" ref="D56:D61" si="22">"Custom_Fault_3_U0_"&amp;SUBSTITUTE(TEXT(E56,"0,000"),",",".")&amp;"pu_OVRT_"&amp;SUBSTITUTE(TEXT(V56,"0,00"),",",".")</f>
        <v>Custom_Fault_3_U0_0.020pu_OVRT_1.15</v>
      </c>
      <c r="E56" s="5">
        <f t="shared" ref="E56:E89" si="23">inp_Uc/inp_Un</f>
        <v>0.02</v>
      </c>
      <c r="F56" s="5">
        <v>1</v>
      </c>
      <c r="G56" s="5" t="s">
        <v>105</v>
      </c>
      <c r="H56" s="5" t="s">
        <v>219</v>
      </c>
      <c r="I56" s="5" t="s">
        <v>21</v>
      </c>
      <c r="J56" s="5">
        <v>0</v>
      </c>
      <c r="K56" s="5" t="s">
        <v>105</v>
      </c>
      <c r="L56" s="21">
        <f t="shared" si="19"/>
        <v>10</v>
      </c>
      <c r="M56" s="21">
        <f t="shared" si="20"/>
        <v>0.5</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25">
      <c r="A57" s="1">
        <v>4055</v>
      </c>
      <c r="B57" s="11" t="b">
        <v>1</v>
      </c>
      <c r="C57" s="11" t="b">
        <v>1</v>
      </c>
      <c r="D57" s="118" t="str">
        <f t="shared" si="22"/>
        <v>Custom_Fault_3_U0_0.020pu_OVRT_1.20</v>
      </c>
      <c r="E57" s="5">
        <f t="shared" si="23"/>
        <v>0.02</v>
      </c>
      <c r="F57" s="5">
        <v>1</v>
      </c>
      <c r="G57" s="5" t="s">
        <v>105</v>
      </c>
      <c r="H57" s="5" t="s">
        <v>219</v>
      </c>
      <c r="I57" s="5" t="s">
        <v>21</v>
      </c>
      <c r="J57" s="5">
        <v>0</v>
      </c>
      <c r="K57" s="5" t="s">
        <v>105</v>
      </c>
      <c r="L57" s="21">
        <f t="shared" si="19"/>
        <v>10</v>
      </c>
      <c r="M57" s="21">
        <f t="shared" si="20"/>
        <v>0.5</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25">
      <c r="A58" s="1">
        <v>4056</v>
      </c>
      <c r="B58" s="11" t="b">
        <v>1</v>
      </c>
      <c r="C58" s="11" t="b">
        <v>1</v>
      </c>
      <c r="D58" s="118" t="str">
        <f t="shared" si="22"/>
        <v>Custom_Fault_3_U0_0.020pu_OVRT_1.30</v>
      </c>
      <c r="E58" s="5">
        <f t="shared" si="23"/>
        <v>0.02</v>
      </c>
      <c r="F58" s="5">
        <v>1</v>
      </c>
      <c r="G58" s="5" t="s">
        <v>105</v>
      </c>
      <c r="H58" s="5" t="s">
        <v>219</v>
      </c>
      <c r="I58" s="5" t="s">
        <v>21</v>
      </c>
      <c r="J58" s="5">
        <v>0</v>
      </c>
      <c r="K58" s="5" t="s">
        <v>105</v>
      </c>
      <c r="L58" s="21">
        <f t="shared" si="19"/>
        <v>10</v>
      </c>
      <c r="M58" s="21">
        <f t="shared" si="20"/>
        <v>0.5</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4">20+Y58</f>
        <v>20.55</v>
      </c>
      <c r="AD58" s="5">
        <f>sel_60min_umax</f>
        <v>1.1499999999999999</v>
      </c>
    </row>
    <row r="59" spans="1:30" x14ac:dyDescent="0.25">
      <c r="A59" s="1">
        <v>4057</v>
      </c>
      <c r="B59" s="11" t="b">
        <v>1</v>
      </c>
      <c r="C59" s="11" t="b">
        <v>1</v>
      </c>
      <c r="D59" s="118" t="str">
        <f t="shared" si="22"/>
        <v>Custom_Fault_3_U0_0.020pu_OVRT_1.15</v>
      </c>
      <c r="E59" s="5">
        <f t="shared" si="23"/>
        <v>0.02</v>
      </c>
      <c r="F59" s="5">
        <v>1</v>
      </c>
      <c r="G59" s="5" t="s">
        <v>105</v>
      </c>
      <c r="H59" s="5" t="s">
        <v>219</v>
      </c>
      <c r="I59" s="5" t="s">
        <v>110</v>
      </c>
      <c r="J59" s="5">
        <v>0</v>
      </c>
      <c r="K59" s="5" t="s">
        <v>105</v>
      </c>
      <c r="L59" s="21">
        <f t="shared" si="19"/>
        <v>10</v>
      </c>
      <c r="M59" s="21">
        <f t="shared" si="20"/>
        <v>0.5</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25">
      <c r="A60" s="1">
        <v>4058</v>
      </c>
      <c r="B60" s="11" t="b">
        <v>1</v>
      </c>
      <c r="C60" s="11" t="b">
        <v>1</v>
      </c>
      <c r="D60" s="118" t="str">
        <f t="shared" si="22"/>
        <v>Custom_Fault_3_U0_0.020pu_OVRT_1.20</v>
      </c>
      <c r="E60" s="5">
        <f t="shared" si="23"/>
        <v>0.02</v>
      </c>
      <c r="F60" s="5">
        <v>1</v>
      </c>
      <c r="G60" s="5" t="s">
        <v>105</v>
      </c>
      <c r="H60" s="5" t="s">
        <v>219</v>
      </c>
      <c r="I60" s="5" t="s">
        <v>110</v>
      </c>
      <c r="J60" s="5">
        <v>0</v>
      </c>
      <c r="K60" s="5" t="s">
        <v>105</v>
      </c>
      <c r="L60" s="21">
        <f t="shared" si="19"/>
        <v>10</v>
      </c>
      <c r="M60" s="21">
        <f t="shared" si="20"/>
        <v>0.5</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25">
      <c r="A61" s="1">
        <v>4059</v>
      </c>
      <c r="B61" s="11" t="b">
        <v>1</v>
      </c>
      <c r="C61" s="11" t="b">
        <v>1</v>
      </c>
      <c r="D61" s="118" t="str">
        <f t="shared" si="22"/>
        <v>Custom_Fault_3_U0_0.020pu_OVRT_1.30</v>
      </c>
      <c r="E61" s="5">
        <f t="shared" si="23"/>
        <v>0.02</v>
      </c>
      <c r="F61" s="5">
        <v>1</v>
      </c>
      <c r="G61" s="5" t="s">
        <v>105</v>
      </c>
      <c r="H61" s="5" t="s">
        <v>219</v>
      </c>
      <c r="I61" s="5" t="s">
        <v>110</v>
      </c>
      <c r="J61" s="5">
        <v>0</v>
      </c>
      <c r="K61" s="5" t="s">
        <v>105</v>
      </c>
      <c r="L61" s="21">
        <f t="shared" si="19"/>
        <v>10</v>
      </c>
      <c r="M61" s="21">
        <f t="shared" si="20"/>
        <v>0.5</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5">20+Y61</f>
        <v>20.55</v>
      </c>
      <c r="AD61" s="5">
        <f>sel_60min_umax</f>
        <v>1.1499999999999999</v>
      </c>
    </row>
    <row r="62" spans="1:30" x14ac:dyDescent="0.25">
      <c r="A62" s="1">
        <v>4060</v>
      </c>
      <c r="B62" s="11" t="b">
        <v>1</v>
      </c>
      <c r="C62" s="11" t="b">
        <v>1</v>
      </c>
      <c r="D62" s="118" t="str">
        <f>"Custom_Fault_3_"&amp;SUBSTITUTE(TEXT(R62,"0,00"),",",".")&amp;"pu_SCR_"&amp;TEXT(L62,"0")&amp;""</f>
        <v>Custom_Fault_3_0.20pu_SCR_2</v>
      </c>
      <c r="E62" s="5">
        <f t="shared" si="23"/>
        <v>0.02</v>
      </c>
      <c r="F62" s="5">
        <v>1</v>
      </c>
      <c r="G62" s="5" t="s">
        <v>105</v>
      </c>
      <c r="H62" s="5" t="s">
        <v>219</v>
      </c>
      <c r="I62" s="5" t="s">
        <v>105</v>
      </c>
      <c r="J62" s="5">
        <v>0</v>
      </c>
      <c r="K62" s="5" t="s">
        <v>105</v>
      </c>
      <c r="L62" s="21">
        <v>2</v>
      </c>
      <c r="M62" s="21">
        <f t="shared" si="20"/>
        <v>0.5</v>
      </c>
      <c r="N62" s="21" t="s">
        <v>105</v>
      </c>
      <c r="O62" s="5">
        <v>12</v>
      </c>
      <c r="P62" s="18" t="s">
        <v>115</v>
      </c>
      <c r="Q62" s="17">
        <v>0</v>
      </c>
      <c r="R62" s="71">
        <v>0.2</v>
      </c>
      <c r="S62" s="17">
        <v>0.45</v>
      </c>
    </row>
    <row r="63" spans="1:30" x14ac:dyDescent="0.25">
      <c r="A63" s="1">
        <v>4061</v>
      </c>
      <c r="B63" s="11" t="b">
        <v>1</v>
      </c>
      <c r="C63" s="11" t="b">
        <v>1</v>
      </c>
      <c r="D63" s="118" t="str">
        <f>"Custom_Fault_3_"&amp;SUBSTITUTE(TEXT(R63,"0,00"),",",".")&amp;"pu_SCR_"&amp;TEXT(L63,"0")&amp;""</f>
        <v>Custom_Fault_3_0.20pu_SCR_3</v>
      </c>
      <c r="E63" s="5">
        <f t="shared" si="23"/>
        <v>0.02</v>
      </c>
      <c r="F63" s="5">
        <v>1</v>
      </c>
      <c r="G63" s="5" t="s">
        <v>105</v>
      </c>
      <c r="H63" s="5" t="s">
        <v>219</v>
      </c>
      <c r="I63" s="5" t="s">
        <v>105</v>
      </c>
      <c r="J63" s="5">
        <v>0</v>
      </c>
      <c r="K63" s="5" t="s">
        <v>105</v>
      </c>
      <c r="L63" s="21">
        <v>3</v>
      </c>
      <c r="M63" s="21">
        <f t="shared" si="20"/>
        <v>0.5</v>
      </c>
      <c r="N63" s="21" t="s">
        <v>105</v>
      </c>
      <c r="O63" s="5">
        <v>12</v>
      </c>
      <c r="P63" s="18" t="s">
        <v>115</v>
      </c>
      <c r="Q63" s="17">
        <v>0</v>
      </c>
      <c r="R63" s="71">
        <v>0.2</v>
      </c>
      <c r="S63" s="17">
        <v>0.45</v>
      </c>
    </row>
    <row r="64" spans="1:30" x14ac:dyDescent="0.25">
      <c r="A64" s="1">
        <v>4062</v>
      </c>
      <c r="B64" s="11" t="b">
        <v>1</v>
      </c>
      <c r="C64" s="11" t="b">
        <v>1</v>
      </c>
      <c r="D64" s="118" t="str">
        <f>"Custom_Fault_3_"&amp;SUBSTITUTE(TEXT(R64,"0,00"),",",".")&amp;"pu_SCR_"&amp;TEXT(L64,"0")&amp;""</f>
        <v>Custom_Fault_3_0.20pu_SCR_4</v>
      </c>
      <c r="E64" s="5">
        <f t="shared" si="23"/>
        <v>0.02</v>
      </c>
      <c r="F64" s="5">
        <v>1</v>
      </c>
      <c r="G64" s="5" t="s">
        <v>105</v>
      </c>
      <c r="H64" s="5" t="s">
        <v>219</v>
      </c>
      <c r="I64" s="5" t="s">
        <v>105</v>
      </c>
      <c r="J64" s="5">
        <v>0</v>
      </c>
      <c r="K64" s="5" t="s">
        <v>105</v>
      </c>
      <c r="L64" s="21">
        <v>4</v>
      </c>
      <c r="M64" s="21">
        <f t="shared" si="20"/>
        <v>0.5</v>
      </c>
      <c r="N64" s="21" t="s">
        <v>105</v>
      </c>
      <c r="O64" s="5">
        <v>12</v>
      </c>
      <c r="P64" s="18" t="s">
        <v>115</v>
      </c>
      <c r="Q64" s="17">
        <v>0</v>
      </c>
      <c r="R64" s="71">
        <v>0.2</v>
      </c>
      <c r="S64" s="17">
        <v>0.45</v>
      </c>
    </row>
    <row r="65" spans="1:19" x14ac:dyDescent="0.25">
      <c r="A65" s="1">
        <v>4063</v>
      </c>
      <c r="B65" s="11" t="b">
        <v>1</v>
      </c>
      <c r="C65" s="11" t="b">
        <v>1</v>
      </c>
      <c r="D65" s="118" t="str">
        <f>"Custom_Fault_3_"&amp;SUBSTITUTE(TEXT(R65,"0,00"),",",".")&amp;"pu_SCR_"&amp;TEXT(L65,"0")&amp;""</f>
        <v>Custom_Fault_3_0.20pu_SCR_5</v>
      </c>
      <c r="E65" s="5">
        <f t="shared" si="23"/>
        <v>0.02</v>
      </c>
      <c r="F65" s="5">
        <v>1</v>
      </c>
      <c r="G65" s="5" t="s">
        <v>105</v>
      </c>
      <c r="H65" s="5" t="s">
        <v>219</v>
      </c>
      <c r="I65" s="5" t="s">
        <v>105</v>
      </c>
      <c r="J65" s="5">
        <v>0</v>
      </c>
      <c r="K65" s="5" t="s">
        <v>105</v>
      </c>
      <c r="L65" s="21">
        <v>5</v>
      </c>
      <c r="M65" s="21">
        <f t="shared" si="20"/>
        <v>0.5</v>
      </c>
      <c r="N65" s="21" t="s">
        <v>105</v>
      </c>
      <c r="O65" s="5">
        <v>12</v>
      </c>
      <c r="P65" s="18" t="s">
        <v>115</v>
      </c>
      <c r="Q65" s="17">
        <v>0</v>
      </c>
      <c r="R65" s="71">
        <v>0.2</v>
      </c>
      <c r="S65" s="17">
        <v>0.45</v>
      </c>
    </row>
    <row r="66" spans="1:19" x14ac:dyDescent="0.25">
      <c r="A66" s="1">
        <v>4064</v>
      </c>
      <c r="B66" s="11" t="b">
        <v>1</v>
      </c>
      <c r="C66" s="11" t="b">
        <v>1</v>
      </c>
      <c r="D66" s="118" t="str">
        <f>"Custom_Fault_3_"&amp;SUBSTITUTE(TEXT(R66,"0,00"),",",".")&amp;"pu_SCR_"&amp;TEXT(L66,"0")&amp;""</f>
        <v>Custom_Fault_3_0.20pu_SCR_6</v>
      </c>
      <c r="E66" s="5">
        <f t="shared" si="23"/>
        <v>0.02</v>
      </c>
      <c r="F66" s="5">
        <v>1</v>
      </c>
      <c r="G66" s="5" t="s">
        <v>105</v>
      </c>
      <c r="H66" s="5" t="s">
        <v>219</v>
      </c>
      <c r="I66" s="5" t="s">
        <v>105</v>
      </c>
      <c r="J66" s="5">
        <v>0</v>
      </c>
      <c r="K66" s="5" t="s">
        <v>105</v>
      </c>
      <c r="L66" s="21">
        <v>6</v>
      </c>
      <c r="M66" s="21">
        <f t="shared" si="20"/>
        <v>0.5</v>
      </c>
      <c r="N66" s="21" t="s">
        <v>105</v>
      </c>
      <c r="O66" s="5">
        <v>12</v>
      </c>
      <c r="P66" s="18" t="s">
        <v>115</v>
      </c>
      <c r="Q66" s="17">
        <v>0</v>
      </c>
      <c r="R66" s="71">
        <v>0.2</v>
      </c>
      <c r="S66" s="17">
        <v>0.45</v>
      </c>
    </row>
    <row r="67" spans="1:19" x14ac:dyDescent="0.25">
      <c r="A67" s="1">
        <v>4065</v>
      </c>
      <c r="B67" s="11" t="b">
        <v>1</v>
      </c>
      <c r="C67" s="11" t="b">
        <v>1</v>
      </c>
      <c r="D67" s="118" t="str">
        <f>"Custom_Fault_2_"&amp;SUBSTITUTE(TEXT(R67,"0,00"),",",".")&amp;"pu_SCR_"&amp;TEXT(L67,"0")&amp;""</f>
        <v>Custom_Fault_2_0.20pu_SCR_2</v>
      </c>
      <c r="E67" s="5">
        <f t="shared" si="23"/>
        <v>0.02</v>
      </c>
      <c r="F67" s="5">
        <v>1</v>
      </c>
      <c r="G67" s="5" t="s">
        <v>105</v>
      </c>
      <c r="H67" s="5" t="s">
        <v>219</v>
      </c>
      <c r="I67" s="5" t="s">
        <v>105</v>
      </c>
      <c r="J67" s="5">
        <v>0</v>
      </c>
      <c r="K67" s="5" t="s">
        <v>105</v>
      </c>
      <c r="L67" s="21">
        <v>2</v>
      </c>
      <c r="M67" s="21">
        <f t="shared" si="20"/>
        <v>0.5</v>
      </c>
      <c r="N67" s="21" t="s">
        <v>105</v>
      </c>
      <c r="O67" s="5">
        <v>12</v>
      </c>
      <c r="P67" s="18" t="s">
        <v>116</v>
      </c>
      <c r="Q67" s="17">
        <v>0</v>
      </c>
      <c r="R67" s="71">
        <v>0.2</v>
      </c>
      <c r="S67" s="17">
        <v>0.45</v>
      </c>
    </row>
    <row r="68" spans="1:19" x14ac:dyDescent="0.25">
      <c r="A68" s="1">
        <v>4066</v>
      </c>
      <c r="B68" s="11" t="b">
        <v>1</v>
      </c>
      <c r="C68" s="11" t="b">
        <v>1</v>
      </c>
      <c r="D68" s="118" t="str">
        <f>"Custom_Fault_2_"&amp;SUBSTITUTE(TEXT(R68,"0,00"),",",".")&amp;"pu_SCR_"&amp;TEXT(L68,"0")&amp;""</f>
        <v>Custom_Fault_2_0.20pu_SCR_3</v>
      </c>
      <c r="E68" s="5">
        <f t="shared" si="23"/>
        <v>0.02</v>
      </c>
      <c r="F68" s="5">
        <v>1</v>
      </c>
      <c r="G68" s="5" t="s">
        <v>105</v>
      </c>
      <c r="H68" s="5" t="s">
        <v>219</v>
      </c>
      <c r="I68" s="5" t="s">
        <v>105</v>
      </c>
      <c r="J68" s="5">
        <v>0</v>
      </c>
      <c r="K68" s="5" t="s">
        <v>105</v>
      </c>
      <c r="L68" s="21">
        <v>3</v>
      </c>
      <c r="M68" s="21">
        <f t="shared" si="20"/>
        <v>0.5</v>
      </c>
      <c r="N68" s="21" t="s">
        <v>105</v>
      </c>
      <c r="O68" s="5">
        <v>12</v>
      </c>
      <c r="P68" s="18" t="s">
        <v>116</v>
      </c>
      <c r="Q68" s="17">
        <v>0</v>
      </c>
      <c r="R68" s="71">
        <v>0.2</v>
      </c>
      <c r="S68" s="17">
        <v>0.45</v>
      </c>
    </row>
    <row r="69" spans="1:19" x14ac:dyDescent="0.25">
      <c r="A69" s="1">
        <v>4067</v>
      </c>
      <c r="B69" s="11" t="b">
        <v>1</v>
      </c>
      <c r="C69" s="11" t="b">
        <v>1</v>
      </c>
      <c r="D69" s="118" t="str">
        <f>"Custom_Fault_2_"&amp;SUBSTITUTE(TEXT(R69,"0,00"),",",".")&amp;"pu_SCR_"&amp;TEXT(L69,"0")&amp;""</f>
        <v>Custom_Fault_2_0.20pu_SCR_4</v>
      </c>
      <c r="E69" s="5">
        <f t="shared" si="23"/>
        <v>0.02</v>
      </c>
      <c r="F69" s="5">
        <v>1</v>
      </c>
      <c r="G69" s="5" t="s">
        <v>105</v>
      </c>
      <c r="H69" s="5" t="s">
        <v>219</v>
      </c>
      <c r="I69" s="5" t="s">
        <v>105</v>
      </c>
      <c r="J69" s="5">
        <v>0</v>
      </c>
      <c r="K69" s="5" t="s">
        <v>105</v>
      </c>
      <c r="L69" s="21">
        <v>4</v>
      </c>
      <c r="M69" s="21">
        <f t="shared" si="20"/>
        <v>0.5</v>
      </c>
      <c r="N69" s="21" t="s">
        <v>105</v>
      </c>
      <c r="O69" s="5">
        <v>12</v>
      </c>
      <c r="P69" s="18" t="s">
        <v>116</v>
      </c>
      <c r="Q69" s="17">
        <v>0</v>
      </c>
      <c r="R69" s="71">
        <v>0.2</v>
      </c>
      <c r="S69" s="17">
        <v>0.45</v>
      </c>
    </row>
    <row r="70" spans="1:19" x14ac:dyDescent="0.25">
      <c r="A70" s="1">
        <v>4068</v>
      </c>
      <c r="B70" s="11" t="b">
        <v>1</v>
      </c>
      <c r="C70" s="11" t="b">
        <v>1</v>
      </c>
      <c r="D70" s="118" t="str">
        <f>"Custom_Fault_2_"&amp;SUBSTITUTE(TEXT(R70,"0,00"),",",".")&amp;"pu_SCR_"&amp;TEXT(L70,"0")&amp;""</f>
        <v>Custom_Fault_2_0.20pu_SCR_5</v>
      </c>
      <c r="E70" s="5">
        <f t="shared" si="23"/>
        <v>0.02</v>
      </c>
      <c r="F70" s="5">
        <v>1</v>
      </c>
      <c r="G70" s="5" t="s">
        <v>105</v>
      </c>
      <c r="H70" s="5" t="s">
        <v>219</v>
      </c>
      <c r="I70" s="5" t="s">
        <v>105</v>
      </c>
      <c r="J70" s="5">
        <v>0</v>
      </c>
      <c r="K70" s="5" t="s">
        <v>105</v>
      </c>
      <c r="L70" s="21">
        <v>5</v>
      </c>
      <c r="M70" s="21">
        <f t="shared" si="20"/>
        <v>0.5</v>
      </c>
      <c r="N70" s="21" t="s">
        <v>105</v>
      </c>
      <c r="O70" s="5">
        <v>12</v>
      </c>
      <c r="P70" s="18" t="s">
        <v>116</v>
      </c>
      <c r="Q70" s="17">
        <v>0</v>
      </c>
      <c r="R70" s="71">
        <v>0.2</v>
      </c>
      <c r="S70" s="17">
        <v>0.45</v>
      </c>
    </row>
    <row r="71" spans="1:19" x14ac:dyDescent="0.25">
      <c r="A71" s="1">
        <v>4069</v>
      </c>
      <c r="B71" s="11" t="b">
        <v>1</v>
      </c>
      <c r="C71" s="11" t="b">
        <v>1</v>
      </c>
      <c r="D71" s="118" t="str">
        <f>"Custom_Fault_2_"&amp;SUBSTITUTE(TEXT(R71,"0,00"),",",".")&amp;"pu_SCR_"&amp;TEXT(L71,"0")&amp;""</f>
        <v>Custom_Fault_2_0.20pu_SCR_6</v>
      </c>
      <c r="E71" s="5">
        <f t="shared" si="23"/>
        <v>0.02</v>
      </c>
      <c r="F71" s="5">
        <v>1</v>
      </c>
      <c r="G71" s="5" t="s">
        <v>105</v>
      </c>
      <c r="H71" s="5" t="s">
        <v>219</v>
      </c>
      <c r="I71" s="5" t="s">
        <v>105</v>
      </c>
      <c r="J71" s="5">
        <v>0</v>
      </c>
      <c r="K71" s="5" t="s">
        <v>105</v>
      </c>
      <c r="L71" s="21">
        <v>6</v>
      </c>
      <c r="M71" s="21">
        <f t="shared" si="20"/>
        <v>0.5</v>
      </c>
      <c r="N71" s="21" t="s">
        <v>105</v>
      </c>
      <c r="O71" s="5">
        <v>12</v>
      </c>
      <c r="P71" s="18" t="s">
        <v>116</v>
      </c>
      <c r="Q71" s="17">
        <v>0</v>
      </c>
      <c r="R71" s="71">
        <v>0.2</v>
      </c>
      <c r="S71" s="17">
        <v>0.45</v>
      </c>
    </row>
    <row r="72" spans="1:19" x14ac:dyDescent="0.25">
      <c r="A72" s="1">
        <v>4070</v>
      </c>
      <c r="B72" s="11" t="b">
        <v>1</v>
      </c>
      <c r="C72" s="11" t="b">
        <v>1</v>
      </c>
      <c r="D72" s="118" t="str">
        <f>"Custom_Fault_3_"&amp;SUBSTITUTE(TEXT(R72,"0,00"),",",".")&amp;"pu_SCR_"&amp;TEXT(L72,"0")&amp;""</f>
        <v>Custom_Fault_3_0.70pu_SCR_2</v>
      </c>
      <c r="E72" s="5">
        <f t="shared" si="23"/>
        <v>0.02</v>
      </c>
      <c r="F72" s="5">
        <v>1</v>
      </c>
      <c r="G72" s="5" t="s">
        <v>105</v>
      </c>
      <c r="H72" s="5" t="s">
        <v>219</v>
      </c>
      <c r="I72" s="5" t="s">
        <v>105</v>
      </c>
      <c r="J72" s="5">
        <v>0</v>
      </c>
      <c r="K72" s="5" t="s">
        <v>105</v>
      </c>
      <c r="L72" s="21">
        <v>2</v>
      </c>
      <c r="M72" s="21">
        <f t="shared" si="20"/>
        <v>0.5</v>
      </c>
      <c r="N72" s="21" t="s">
        <v>105</v>
      </c>
      <c r="O72" s="5">
        <v>12</v>
      </c>
      <c r="P72" s="18" t="s">
        <v>115</v>
      </c>
      <c r="Q72" s="17">
        <v>0</v>
      </c>
      <c r="R72" s="71">
        <v>0.7</v>
      </c>
      <c r="S72" s="17">
        <v>1.35</v>
      </c>
    </row>
    <row r="73" spans="1:19" x14ac:dyDescent="0.25">
      <c r="A73" s="1">
        <v>4071</v>
      </c>
      <c r="B73" s="11" t="b">
        <v>1</v>
      </c>
      <c r="C73" s="11" t="b">
        <v>1</v>
      </c>
      <c r="D73" s="118" t="str">
        <f>"Custom_Fault_3_"&amp;SUBSTITUTE(TEXT(R73,"0,00"),",",".")&amp;"pu_SCR_"&amp;TEXT(L73,"0")&amp;""</f>
        <v>Custom_Fault_3_0.70pu_SCR_3</v>
      </c>
      <c r="E73" s="5">
        <f t="shared" si="23"/>
        <v>0.02</v>
      </c>
      <c r="F73" s="5">
        <v>1</v>
      </c>
      <c r="G73" s="5" t="s">
        <v>105</v>
      </c>
      <c r="H73" s="5" t="s">
        <v>219</v>
      </c>
      <c r="I73" s="5" t="s">
        <v>105</v>
      </c>
      <c r="J73" s="5">
        <v>0</v>
      </c>
      <c r="K73" s="5" t="s">
        <v>105</v>
      </c>
      <c r="L73" s="21">
        <v>3</v>
      </c>
      <c r="M73" s="21">
        <f t="shared" si="20"/>
        <v>0.5</v>
      </c>
      <c r="N73" s="21" t="s">
        <v>105</v>
      </c>
      <c r="O73" s="5">
        <v>12</v>
      </c>
      <c r="P73" s="18" t="s">
        <v>115</v>
      </c>
      <c r="Q73" s="17">
        <v>0</v>
      </c>
      <c r="R73" s="71">
        <v>0.7</v>
      </c>
      <c r="S73" s="17">
        <v>1.35</v>
      </c>
    </row>
    <row r="74" spans="1:19" x14ac:dyDescent="0.25">
      <c r="A74" s="1">
        <v>4072</v>
      </c>
      <c r="B74" s="11" t="b">
        <v>1</v>
      </c>
      <c r="C74" s="11" t="b">
        <v>1</v>
      </c>
      <c r="D74" s="118" t="str">
        <f>"Custom_Fault_3_"&amp;SUBSTITUTE(TEXT(R74,"0,00"),",",".")&amp;"pu_SCR_"&amp;TEXT(L74,"0")&amp;""</f>
        <v>Custom_Fault_3_0.70pu_SCR_4</v>
      </c>
      <c r="E74" s="5">
        <f t="shared" si="23"/>
        <v>0.02</v>
      </c>
      <c r="F74" s="5">
        <v>1</v>
      </c>
      <c r="G74" s="5" t="s">
        <v>105</v>
      </c>
      <c r="H74" s="5" t="s">
        <v>219</v>
      </c>
      <c r="I74" s="5" t="s">
        <v>105</v>
      </c>
      <c r="J74" s="5">
        <v>0</v>
      </c>
      <c r="K74" s="5" t="s">
        <v>105</v>
      </c>
      <c r="L74" s="21">
        <v>4</v>
      </c>
      <c r="M74" s="21">
        <f t="shared" si="20"/>
        <v>0.5</v>
      </c>
      <c r="N74" s="21" t="s">
        <v>105</v>
      </c>
      <c r="O74" s="5">
        <v>12</v>
      </c>
      <c r="P74" s="18" t="s">
        <v>115</v>
      </c>
      <c r="Q74" s="17">
        <v>0</v>
      </c>
      <c r="R74" s="71">
        <v>0.7</v>
      </c>
      <c r="S74" s="17">
        <v>1.35</v>
      </c>
    </row>
    <row r="75" spans="1:19" x14ac:dyDescent="0.25">
      <c r="A75" s="1">
        <v>4073</v>
      </c>
      <c r="B75" s="11" t="b">
        <v>1</v>
      </c>
      <c r="C75" s="11" t="b">
        <v>1</v>
      </c>
      <c r="D75" s="118" t="str">
        <f>"Custom_Fault_3_"&amp;SUBSTITUTE(TEXT(R75,"0,00"),",",".")&amp;"pu_SCR_"&amp;TEXT(L75,"0")&amp;""</f>
        <v>Custom_Fault_3_0.70pu_SCR_5</v>
      </c>
      <c r="E75" s="5">
        <f t="shared" si="23"/>
        <v>0.02</v>
      </c>
      <c r="F75" s="5">
        <v>1</v>
      </c>
      <c r="G75" s="5" t="s">
        <v>105</v>
      </c>
      <c r="H75" s="5" t="s">
        <v>219</v>
      </c>
      <c r="I75" s="5" t="s">
        <v>105</v>
      </c>
      <c r="J75" s="5">
        <v>0</v>
      </c>
      <c r="K75" s="5" t="s">
        <v>105</v>
      </c>
      <c r="L75" s="21">
        <v>5</v>
      </c>
      <c r="M75" s="21">
        <f t="shared" si="20"/>
        <v>0.5</v>
      </c>
      <c r="N75" s="21" t="s">
        <v>105</v>
      </c>
      <c r="O75" s="5">
        <v>12</v>
      </c>
      <c r="P75" s="18" t="s">
        <v>115</v>
      </c>
      <c r="Q75" s="17">
        <v>0</v>
      </c>
      <c r="R75" s="71">
        <v>0.7</v>
      </c>
      <c r="S75" s="17">
        <v>1.35</v>
      </c>
    </row>
    <row r="76" spans="1:19" x14ac:dyDescent="0.25">
      <c r="A76" s="1">
        <v>4074</v>
      </c>
      <c r="B76" s="11" t="b">
        <v>1</v>
      </c>
      <c r="C76" s="11" t="b">
        <v>1</v>
      </c>
      <c r="D76" s="118" t="str">
        <f>"Custom_Fault_3_"&amp;SUBSTITUTE(TEXT(R76,"0,00"),",",".")&amp;"pu_SCR_"&amp;TEXT(L76,"0")&amp;""</f>
        <v>Custom_Fault_3_0.70pu_SCR_6</v>
      </c>
      <c r="E76" s="5">
        <f t="shared" si="23"/>
        <v>0.02</v>
      </c>
      <c r="F76" s="5">
        <v>1</v>
      </c>
      <c r="G76" s="5" t="s">
        <v>105</v>
      </c>
      <c r="H76" s="5" t="s">
        <v>219</v>
      </c>
      <c r="I76" s="5" t="s">
        <v>105</v>
      </c>
      <c r="J76" s="5">
        <v>0</v>
      </c>
      <c r="K76" s="5" t="s">
        <v>105</v>
      </c>
      <c r="L76" s="21">
        <v>6</v>
      </c>
      <c r="M76" s="21">
        <f t="shared" si="20"/>
        <v>0.5</v>
      </c>
      <c r="N76" s="21" t="s">
        <v>105</v>
      </c>
      <c r="O76" s="5">
        <v>12</v>
      </c>
      <c r="P76" s="18" t="s">
        <v>115</v>
      </c>
      <c r="Q76" s="17">
        <v>0</v>
      </c>
      <c r="R76" s="71">
        <v>0.7</v>
      </c>
      <c r="S76" s="17">
        <v>1.35</v>
      </c>
    </row>
    <row r="77" spans="1:19" x14ac:dyDescent="0.25">
      <c r="A77" s="1">
        <v>4075</v>
      </c>
      <c r="B77" s="11" t="b">
        <v>1</v>
      </c>
      <c r="C77" s="11" t="b">
        <v>1</v>
      </c>
      <c r="D77" s="118" t="str">
        <f>"Custom_Fault_2_"&amp;SUBSTITUTE(TEXT(R77,"0,00"),",",".")&amp;"pu_SCR_"&amp;TEXT(L77,"0")&amp;""</f>
        <v>Custom_Fault_2_0.70pu_SCR_2</v>
      </c>
      <c r="E77" s="5">
        <f t="shared" si="23"/>
        <v>0.02</v>
      </c>
      <c r="F77" s="5">
        <v>1</v>
      </c>
      <c r="G77" s="5" t="s">
        <v>105</v>
      </c>
      <c r="H77" s="5" t="s">
        <v>219</v>
      </c>
      <c r="I77" s="5" t="s">
        <v>105</v>
      </c>
      <c r="J77" s="5">
        <v>0</v>
      </c>
      <c r="K77" s="5" t="s">
        <v>105</v>
      </c>
      <c r="L77" s="21">
        <v>2</v>
      </c>
      <c r="M77" s="21">
        <f t="shared" si="20"/>
        <v>0.5</v>
      </c>
      <c r="N77" s="21" t="s">
        <v>105</v>
      </c>
      <c r="O77" s="5">
        <v>12</v>
      </c>
      <c r="P77" s="18" t="s">
        <v>116</v>
      </c>
      <c r="Q77" s="17">
        <v>0</v>
      </c>
      <c r="R77" s="71">
        <v>0.7</v>
      </c>
      <c r="S77" s="17">
        <v>1.35</v>
      </c>
    </row>
    <row r="78" spans="1:19" x14ac:dyDescent="0.25">
      <c r="A78" s="1">
        <v>4076</v>
      </c>
      <c r="B78" s="11" t="b">
        <v>1</v>
      </c>
      <c r="C78" s="11" t="b">
        <v>1</v>
      </c>
      <c r="D78" s="118" t="str">
        <f>"Custom_Fault_2_"&amp;SUBSTITUTE(TEXT(R78,"0,00"),",",".")&amp;"pu_SCR_"&amp;TEXT(L78,"0")&amp;""</f>
        <v>Custom_Fault_2_0.70pu_SCR_3</v>
      </c>
      <c r="E78" s="5">
        <f t="shared" si="23"/>
        <v>0.02</v>
      </c>
      <c r="F78" s="5">
        <v>1</v>
      </c>
      <c r="G78" s="5" t="s">
        <v>105</v>
      </c>
      <c r="H78" s="5" t="s">
        <v>219</v>
      </c>
      <c r="I78" s="5" t="s">
        <v>105</v>
      </c>
      <c r="J78" s="5">
        <v>0</v>
      </c>
      <c r="K78" s="5" t="s">
        <v>105</v>
      </c>
      <c r="L78" s="21">
        <v>3</v>
      </c>
      <c r="M78" s="21">
        <f t="shared" si="20"/>
        <v>0.5</v>
      </c>
      <c r="N78" s="21" t="s">
        <v>105</v>
      </c>
      <c r="O78" s="5">
        <v>12</v>
      </c>
      <c r="P78" s="18" t="s">
        <v>116</v>
      </c>
      <c r="Q78" s="17">
        <v>0</v>
      </c>
      <c r="R78" s="71">
        <v>0.7</v>
      </c>
      <c r="S78" s="17">
        <v>1.35</v>
      </c>
    </row>
    <row r="79" spans="1:19" x14ac:dyDescent="0.25">
      <c r="A79" s="1">
        <v>4077</v>
      </c>
      <c r="B79" s="11" t="b">
        <v>1</v>
      </c>
      <c r="C79" s="11" t="b">
        <v>1</v>
      </c>
      <c r="D79" s="118" t="str">
        <f>"Custom_Fault_2_"&amp;SUBSTITUTE(TEXT(R79,"0,00"),",",".")&amp;"pu_SCR_"&amp;TEXT(L79,"0")&amp;""</f>
        <v>Custom_Fault_2_0.70pu_SCR_4</v>
      </c>
      <c r="E79" s="5">
        <f t="shared" si="23"/>
        <v>0.02</v>
      </c>
      <c r="F79" s="5">
        <v>1</v>
      </c>
      <c r="G79" s="5" t="s">
        <v>105</v>
      </c>
      <c r="H79" s="5" t="s">
        <v>219</v>
      </c>
      <c r="I79" s="5" t="s">
        <v>105</v>
      </c>
      <c r="J79" s="5">
        <v>0</v>
      </c>
      <c r="K79" s="5" t="s">
        <v>105</v>
      </c>
      <c r="L79" s="21">
        <v>4</v>
      </c>
      <c r="M79" s="21">
        <f t="shared" si="20"/>
        <v>0.5</v>
      </c>
      <c r="N79" s="21" t="s">
        <v>105</v>
      </c>
      <c r="O79" s="5">
        <v>12</v>
      </c>
      <c r="P79" s="18" t="s">
        <v>116</v>
      </c>
      <c r="Q79" s="17">
        <v>0</v>
      </c>
      <c r="R79" s="71">
        <v>0.7</v>
      </c>
      <c r="S79" s="17">
        <v>1.35</v>
      </c>
    </row>
    <row r="80" spans="1:19" x14ac:dyDescent="0.25">
      <c r="A80" s="1">
        <v>4078</v>
      </c>
      <c r="B80" s="11" t="b">
        <v>1</v>
      </c>
      <c r="C80" s="11" t="b">
        <v>1</v>
      </c>
      <c r="D80" s="118" t="str">
        <f>"Custom_Fault_2_"&amp;SUBSTITUTE(TEXT(R80,"0,00"),",",".")&amp;"pu_SCR_"&amp;TEXT(L80,"0")&amp;""</f>
        <v>Custom_Fault_2_0.70pu_SCR_5</v>
      </c>
      <c r="E80" s="5">
        <f t="shared" si="23"/>
        <v>0.02</v>
      </c>
      <c r="F80" s="5">
        <v>1</v>
      </c>
      <c r="G80" s="5" t="s">
        <v>105</v>
      </c>
      <c r="H80" s="5" t="s">
        <v>219</v>
      </c>
      <c r="I80" s="5" t="s">
        <v>105</v>
      </c>
      <c r="J80" s="5">
        <v>0</v>
      </c>
      <c r="K80" s="5" t="s">
        <v>105</v>
      </c>
      <c r="L80" s="21">
        <v>5</v>
      </c>
      <c r="M80" s="21">
        <f t="shared" si="20"/>
        <v>0.5</v>
      </c>
      <c r="N80" s="21" t="s">
        <v>105</v>
      </c>
      <c r="O80" s="5">
        <v>12</v>
      </c>
      <c r="P80" s="18" t="s">
        <v>116</v>
      </c>
      <c r="Q80" s="17">
        <v>0</v>
      </c>
      <c r="R80" s="71">
        <v>0.7</v>
      </c>
      <c r="S80" s="17">
        <v>1.35</v>
      </c>
    </row>
    <row r="81" spans="1:19" x14ac:dyDescent="0.25">
      <c r="A81" s="1">
        <v>4079</v>
      </c>
      <c r="B81" s="11" t="b">
        <v>1</v>
      </c>
      <c r="C81" s="11" t="b">
        <v>1</v>
      </c>
      <c r="D81" s="118" t="str">
        <f>"Custom_Fault_2_"&amp;SUBSTITUTE(TEXT(R81,"0,00"),",",".")&amp;"pu_SCR_"&amp;TEXT(L81,"0")&amp;""</f>
        <v>Custom_Fault_2_0.70pu_SCR_6</v>
      </c>
      <c r="E81" s="5">
        <f t="shared" si="23"/>
        <v>0.02</v>
      </c>
      <c r="F81" s="5">
        <v>1</v>
      </c>
      <c r="G81" s="5" t="s">
        <v>105</v>
      </c>
      <c r="H81" s="5" t="s">
        <v>219</v>
      </c>
      <c r="I81" s="5" t="s">
        <v>105</v>
      </c>
      <c r="J81" s="5">
        <v>0</v>
      </c>
      <c r="K81" s="5" t="s">
        <v>105</v>
      </c>
      <c r="L81" s="21">
        <v>6</v>
      </c>
      <c r="M81" s="21">
        <f t="shared" si="20"/>
        <v>0.5</v>
      </c>
      <c r="N81" s="21" t="s">
        <v>105</v>
      </c>
      <c r="O81" s="5">
        <v>12</v>
      </c>
      <c r="P81" s="18" t="s">
        <v>116</v>
      </c>
      <c r="Q81" s="17">
        <v>0</v>
      </c>
      <c r="R81" s="71">
        <v>0.7</v>
      </c>
      <c r="S81" s="17">
        <v>1.35</v>
      </c>
    </row>
    <row r="82" spans="1:19" x14ac:dyDescent="0.25">
      <c r="A82" s="1">
        <v>4080</v>
      </c>
      <c r="B82" s="11" t="b">
        <v>1</v>
      </c>
      <c r="C82" s="11" t="b">
        <v>1</v>
      </c>
      <c r="D82" s="118" t="str">
        <f>"Custom_Fault_3_"&amp;SUBSTITUTE(TEXT(R82,"0,00"),",",".")&amp;"pu_Duration_"&amp;SUBSTITUTE(TEXT(S82*1000,"00"),",",".")</f>
        <v>Custom_Fault_3_0.20pu_Duration_80</v>
      </c>
      <c r="E82" s="5">
        <f t="shared" si="23"/>
        <v>0.02</v>
      </c>
      <c r="F82" s="5">
        <v>1</v>
      </c>
      <c r="G82" s="5" t="s">
        <v>105</v>
      </c>
      <c r="H82" s="5" t="s">
        <v>219</v>
      </c>
      <c r="I82" s="5" t="s">
        <v>105</v>
      </c>
      <c r="J82" s="5">
        <v>0</v>
      </c>
      <c r="K82" s="5" t="s">
        <v>105</v>
      </c>
      <c r="L82" s="21">
        <f t="shared" ref="L82:L89" si="26">inp_scr_min</f>
        <v>10</v>
      </c>
      <c r="M82" s="21">
        <f t="shared" si="20"/>
        <v>0.5</v>
      </c>
      <c r="N82" s="21" t="s">
        <v>105</v>
      </c>
      <c r="O82" s="5">
        <v>12</v>
      </c>
      <c r="P82" s="18" t="s">
        <v>115</v>
      </c>
      <c r="Q82" s="17">
        <v>0</v>
      </c>
      <c r="R82" s="71">
        <v>0.2</v>
      </c>
      <c r="S82" s="17">
        <v>0.08</v>
      </c>
    </row>
    <row r="83" spans="1:19" x14ac:dyDescent="0.25">
      <c r="A83" s="1">
        <v>4081</v>
      </c>
      <c r="B83" s="11" t="b">
        <v>1</v>
      </c>
      <c r="C83" s="11" t="b">
        <v>1</v>
      </c>
      <c r="D83" s="118" t="str">
        <f t="shared" ref="D83:D84" si="27">"Custom_Fault_3_"&amp;SUBSTITUTE(TEXT(R83,"0,00"),",",".")&amp;"pu_Duration_"&amp;SUBSTITUTE(TEXT(S83*1000,"00"),",",".")</f>
        <v>Custom_Fault_3_0.20pu_Duration_60</v>
      </c>
      <c r="E83" s="5">
        <f t="shared" si="23"/>
        <v>0.02</v>
      </c>
      <c r="F83" s="5">
        <v>1</v>
      </c>
      <c r="G83" s="5" t="s">
        <v>105</v>
      </c>
      <c r="H83" s="5" t="s">
        <v>219</v>
      </c>
      <c r="I83" s="5" t="s">
        <v>105</v>
      </c>
      <c r="J83" s="5">
        <v>0</v>
      </c>
      <c r="K83" s="5" t="s">
        <v>105</v>
      </c>
      <c r="L83" s="21">
        <f t="shared" si="26"/>
        <v>10</v>
      </c>
      <c r="M83" s="21">
        <f t="shared" si="20"/>
        <v>0.5</v>
      </c>
      <c r="N83" s="21" t="s">
        <v>105</v>
      </c>
      <c r="O83" s="5">
        <v>12</v>
      </c>
      <c r="P83" s="18" t="s">
        <v>115</v>
      </c>
      <c r="Q83" s="17">
        <v>0</v>
      </c>
      <c r="R83" s="71">
        <v>0.2</v>
      </c>
      <c r="S83" s="17">
        <v>0.06</v>
      </c>
    </row>
    <row r="84" spans="1:19" x14ac:dyDescent="0.25">
      <c r="A84" s="1">
        <v>4082</v>
      </c>
      <c r="B84" s="11" t="b">
        <v>1</v>
      </c>
      <c r="C84" s="11" t="b">
        <v>1</v>
      </c>
      <c r="D84" s="118" t="str">
        <f t="shared" si="27"/>
        <v>Custom_Fault_3_0.20pu_Duration_40</v>
      </c>
      <c r="E84" s="5">
        <f t="shared" si="23"/>
        <v>0.02</v>
      </c>
      <c r="F84" s="5">
        <v>1</v>
      </c>
      <c r="G84" s="5" t="s">
        <v>105</v>
      </c>
      <c r="H84" s="5" t="s">
        <v>219</v>
      </c>
      <c r="I84" s="5" t="s">
        <v>105</v>
      </c>
      <c r="J84" s="5">
        <v>0</v>
      </c>
      <c r="K84" s="5" t="s">
        <v>105</v>
      </c>
      <c r="L84" s="21">
        <f t="shared" si="26"/>
        <v>10</v>
      </c>
      <c r="M84" s="21">
        <f t="shared" si="20"/>
        <v>0.5</v>
      </c>
      <c r="N84" s="21" t="s">
        <v>105</v>
      </c>
      <c r="O84" s="5">
        <v>12</v>
      </c>
      <c r="P84" s="18" t="s">
        <v>115</v>
      </c>
      <c r="Q84" s="17">
        <v>0</v>
      </c>
      <c r="R84" s="71">
        <v>0.2</v>
      </c>
      <c r="S84" s="17">
        <v>0.04</v>
      </c>
    </row>
    <row r="85" spans="1:19" x14ac:dyDescent="0.25">
      <c r="A85" s="1">
        <v>4083</v>
      </c>
      <c r="B85" s="11" t="b">
        <v>1</v>
      </c>
      <c r="C85" s="11" t="b">
        <v>1</v>
      </c>
      <c r="D85" s="118" t="str">
        <f>"Custom_Shift_"&amp;TEXT(Q85*1000,"00")&amp;"_Fault_3_"&amp;SUBSTITUTE(TEXT(R85,"0,00"),",",".")&amp;"pu"</f>
        <v>Custom_Shift_10_Fault_3_0.20pu</v>
      </c>
      <c r="E85" s="5">
        <f t="shared" si="23"/>
        <v>0.02</v>
      </c>
      <c r="F85" s="5">
        <v>1</v>
      </c>
      <c r="G85" s="5" t="s">
        <v>105</v>
      </c>
      <c r="H85" s="5" t="s">
        <v>219</v>
      </c>
      <c r="I85" s="5" t="s">
        <v>105</v>
      </c>
      <c r="J85" s="5">
        <v>0</v>
      </c>
      <c r="K85" s="5" t="s">
        <v>105</v>
      </c>
      <c r="L85" s="21">
        <f t="shared" si="26"/>
        <v>10</v>
      </c>
      <c r="M85" s="21">
        <f t="shared" si="20"/>
        <v>0.5</v>
      </c>
      <c r="N85" s="21" t="s">
        <v>105</v>
      </c>
      <c r="O85" s="5">
        <v>12</v>
      </c>
      <c r="P85" s="18" t="s">
        <v>115</v>
      </c>
      <c r="Q85" s="17">
        <v>0.01</v>
      </c>
      <c r="R85" s="71">
        <v>0.2</v>
      </c>
      <c r="S85" s="17">
        <v>0.04</v>
      </c>
    </row>
    <row r="86" spans="1:19" x14ac:dyDescent="0.25">
      <c r="A86" s="1">
        <v>4084</v>
      </c>
      <c r="B86" s="11" t="b">
        <v>1</v>
      </c>
      <c r="C86" s="11" t="b">
        <v>1</v>
      </c>
      <c r="D86" s="118" t="str">
        <f t="shared" ref="D86:D89" si="28">"Custom_Shift_"&amp;TEXT(Q86*1000,"00")&amp;"_Fault_3_"&amp;SUBSTITUTE(TEXT(R86,"0,00"),",",".")&amp;"pu"</f>
        <v>Custom_Shift_20_Fault_3_0.20pu</v>
      </c>
      <c r="E86" s="5">
        <f t="shared" si="23"/>
        <v>0.02</v>
      </c>
      <c r="F86" s="5">
        <v>1</v>
      </c>
      <c r="G86" s="5" t="s">
        <v>105</v>
      </c>
      <c r="H86" s="5" t="s">
        <v>219</v>
      </c>
      <c r="I86" s="5" t="s">
        <v>105</v>
      </c>
      <c r="J86" s="5">
        <v>0</v>
      </c>
      <c r="K86" s="5" t="s">
        <v>105</v>
      </c>
      <c r="L86" s="21">
        <f t="shared" si="26"/>
        <v>10</v>
      </c>
      <c r="M86" s="21">
        <f t="shared" si="20"/>
        <v>0.5</v>
      </c>
      <c r="N86" s="21" t="s">
        <v>105</v>
      </c>
      <c r="O86" s="5">
        <v>12</v>
      </c>
      <c r="P86" s="18" t="s">
        <v>115</v>
      </c>
      <c r="Q86" s="17">
        <v>0.02</v>
      </c>
      <c r="R86" s="71">
        <v>0.2</v>
      </c>
      <c r="S86" s="17">
        <v>0.04</v>
      </c>
    </row>
    <row r="87" spans="1:19" x14ac:dyDescent="0.25">
      <c r="A87" s="1">
        <v>4085</v>
      </c>
      <c r="B87" s="11" t="b">
        <v>1</v>
      </c>
      <c r="C87" s="11" t="b">
        <v>1</v>
      </c>
      <c r="D87" s="118" t="str">
        <f t="shared" si="28"/>
        <v>Custom_Shift_30_Fault_3_0.20pu</v>
      </c>
      <c r="E87" s="5">
        <f t="shared" si="23"/>
        <v>0.02</v>
      </c>
      <c r="F87" s="5">
        <v>1</v>
      </c>
      <c r="G87" s="5" t="s">
        <v>105</v>
      </c>
      <c r="H87" s="5" t="s">
        <v>219</v>
      </c>
      <c r="I87" s="5" t="s">
        <v>105</v>
      </c>
      <c r="J87" s="5">
        <v>0</v>
      </c>
      <c r="K87" s="5" t="s">
        <v>105</v>
      </c>
      <c r="L87" s="21">
        <f t="shared" si="26"/>
        <v>10</v>
      </c>
      <c r="M87" s="21">
        <f t="shared" si="20"/>
        <v>0.5</v>
      </c>
      <c r="N87" s="21" t="s">
        <v>105</v>
      </c>
      <c r="O87" s="5">
        <v>12</v>
      </c>
      <c r="P87" s="18" t="s">
        <v>115</v>
      </c>
      <c r="Q87" s="17">
        <v>0.03</v>
      </c>
      <c r="R87" s="71">
        <v>0.2</v>
      </c>
      <c r="S87" s="17">
        <v>0.04</v>
      </c>
    </row>
    <row r="88" spans="1:19" x14ac:dyDescent="0.25">
      <c r="A88" s="1">
        <v>4086</v>
      </c>
      <c r="B88" s="11" t="b">
        <v>1</v>
      </c>
      <c r="C88" s="11" t="b">
        <v>1</v>
      </c>
      <c r="D88" s="118" t="str">
        <f t="shared" si="28"/>
        <v>Custom_Shift_40_Fault_3_0.20pu</v>
      </c>
      <c r="E88" s="5">
        <f t="shared" si="23"/>
        <v>0.02</v>
      </c>
      <c r="F88" s="5">
        <v>1</v>
      </c>
      <c r="G88" s="5" t="s">
        <v>105</v>
      </c>
      <c r="H88" s="5" t="s">
        <v>219</v>
      </c>
      <c r="I88" s="5" t="s">
        <v>105</v>
      </c>
      <c r="J88" s="5">
        <v>0</v>
      </c>
      <c r="K88" s="5" t="s">
        <v>105</v>
      </c>
      <c r="L88" s="21">
        <f t="shared" si="26"/>
        <v>10</v>
      </c>
      <c r="M88" s="21">
        <f t="shared" si="20"/>
        <v>0.5</v>
      </c>
      <c r="N88" s="21" t="s">
        <v>105</v>
      </c>
      <c r="O88" s="5">
        <v>12</v>
      </c>
      <c r="P88" s="18" t="s">
        <v>115</v>
      </c>
      <c r="Q88" s="17">
        <v>0.04</v>
      </c>
      <c r="R88" s="71">
        <v>0.2</v>
      </c>
      <c r="S88" s="17">
        <v>0.04</v>
      </c>
    </row>
    <row r="89" spans="1:19" x14ac:dyDescent="0.25">
      <c r="A89" s="1">
        <v>4087</v>
      </c>
      <c r="B89" s="11" t="b">
        <v>1</v>
      </c>
      <c r="C89" s="11" t="b">
        <v>1</v>
      </c>
      <c r="D89" s="118" t="str">
        <f t="shared" si="28"/>
        <v>Custom_Shift_50_Fault_3_0.20pu</v>
      </c>
      <c r="E89" s="5">
        <f t="shared" si="23"/>
        <v>0.02</v>
      </c>
      <c r="F89" s="5">
        <v>1</v>
      </c>
      <c r="G89" s="5" t="s">
        <v>105</v>
      </c>
      <c r="H89" s="5" t="s">
        <v>219</v>
      </c>
      <c r="I89" s="5" t="s">
        <v>105</v>
      </c>
      <c r="J89" s="5">
        <v>0</v>
      </c>
      <c r="K89" s="5" t="s">
        <v>105</v>
      </c>
      <c r="L89" s="21">
        <f t="shared" si="26"/>
        <v>10</v>
      </c>
      <c r="M89" s="21">
        <f t="shared" si="20"/>
        <v>0.5</v>
      </c>
      <c r="N89" s="21" t="s">
        <v>105</v>
      </c>
      <c r="O89" s="5">
        <v>12</v>
      </c>
      <c r="P89" s="18" t="s">
        <v>115</v>
      </c>
      <c r="Q89" s="17">
        <v>0.05</v>
      </c>
      <c r="R89" s="71">
        <v>0.2</v>
      </c>
      <c r="S89" s="17">
        <v>0.04</v>
      </c>
    </row>
    <row r="90" spans="1:19" x14ac:dyDescent="0.25">
      <c r="N90" s="21"/>
    </row>
    <row r="91" spans="1:19" x14ac:dyDescent="0.25">
      <c r="N91" s="83"/>
    </row>
    <row r="92" spans="1:19" x14ac:dyDescent="0.25">
      <c r="N92" s="83"/>
    </row>
    <row r="93" spans="1:19" x14ac:dyDescent="0.25">
      <c r="N93" s="83"/>
    </row>
    <row r="94" spans="1:19" x14ac:dyDescent="0.25">
      <c r="N94" s="83"/>
    </row>
    <row r="95" spans="1:19" x14ac:dyDescent="0.25">
      <c r="N95" s="83"/>
    </row>
    <row r="96" spans="1:19" x14ac:dyDescent="0.25">
      <c r="N96" s="83"/>
    </row>
    <row r="97" spans="14:14" x14ac:dyDescent="0.25">
      <c r="N97" s="83"/>
    </row>
    <row r="98" spans="14:14" x14ac:dyDescent="0.25">
      <c r="N98" s="83"/>
    </row>
    <row r="99" spans="14:14" x14ac:dyDescent="0.25">
      <c r="N99" s="83"/>
    </row>
    <row r="100" spans="14:14" x14ac:dyDescent="0.25">
      <c r="N100" s="83"/>
    </row>
    <row r="101" spans="14:14" x14ac:dyDescent="0.25">
      <c r="N101" s="83"/>
    </row>
    <row r="102" spans="14:14" x14ac:dyDescent="0.25">
      <c r="N102" s="83"/>
    </row>
    <row r="103" spans="14:14" x14ac:dyDescent="0.25">
      <c r="N103" s="83"/>
    </row>
    <row r="104" spans="14:14" x14ac:dyDescent="0.25">
      <c r="N104" s="83"/>
    </row>
    <row r="105" spans="14:14" x14ac:dyDescent="0.25">
      <c r="N105" s="83"/>
    </row>
    <row r="106" spans="14:14" x14ac:dyDescent="0.25">
      <c r="N106" s="83"/>
    </row>
    <row r="107" spans="14:14" x14ac:dyDescent="0.25">
      <c r="N107" s="83"/>
    </row>
    <row r="108" spans="14:14" x14ac:dyDescent="0.25">
      <c r="N108" s="83"/>
    </row>
    <row r="109" spans="14:14" x14ac:dyDescent="0.25">
      <c r="N109" s="83"/>
    </row>
    <row r="110" spans="14:14" x14ac:dyDescent="0.25">
      <c r="N110" s="83"/>
    </row>
    <row r="111" spans="14:14" x14ac:dyDescent="0.25">
      <c r="N111" s="83"/>
    </row>
    <row r="112" spans="14:14" x14ac:dyDescent="0.25">
      <c r="N112" s="83"/>
    </row>
    <row r="113" spans="14:14" x14ac:dyDescent="0.25">
      <c r="N113" s="83"/>
    </row>
    <row r="114" spans="14:14" x14ac:dyDescent="0.25">
      <c r="N114" s="83"/>
    </row>
    <row r="115" spans="14:14" x14ac:dyDescent="0.25">
      <c r="N115" s="83"/>
    </row>
    <row r="116" spans="14:14" x14ac:dyDescent="0.25">
      <c r="N116" s="83"/>
    </row>
    <row r="117" spans="14:14" x14ac:dyDescent="0.25">
      <c r="N117" s="83"/>
    </row>
    <row r="118" spans="14:14" x14ac:dyDescent="0.25">
      <c r="N118" s="83"/>
    </row>
    <row r="119" spans="14:14" x14ac:dyDescent="0.25">
      <c r="N119" s="83"/>
    </row>
    <row r="120" spans="14:14" x14ac:dyDescent="0.25">
      <c r="N120" s="83"/>
    </row>
    <row r="121" spans="14:14" x14ac:dyDescent="0.25">
      <c r="N121" s="83"/>
    </row>
    <row r="122" spans="14:14" x14ac:dyDescent="0.25">
      <c r="N122" s="83"/>
    </row>
    <row r="123" spans="14:14" x14ac:dyDescent="0.25">
      <c r="N123" s="83"/>
    </row>
    <row r="124" spans="14:14" x14ac:dyDescent="0.25">
      <c r="N124" s="83"/>
    </row>
    <row r="125" spans="14:14" x14ac:dyDescent="0.25">
      <c r="N125" s="83"/>
    </row>
    <row r="126" spans="14:14" x14ac:dyDescent="0.25">
      <c r="N126" s="83"/>
    </row>
    <row r="127" spans="14:14" x14ac:dyDescent="0.25">
      <c r="N127" s="83"/>
    </row>
    <row r="128" spans="14:14" x14ac:dyDescent="0.25">
      <c r="N128" s="83"/>
    </row>
    <row r="129" spans="14:14" x14ac:dyDescent="0.25">
      <c r="N129" s="83"/>
    </row>
    <row r="130" spans="14:14" x14ac:dyDescent="0.25">
      <c r="N130" s="83"/>
    </row>
    <row r="131" spans="14:14" x14ac:dyDescent="0.25">
      <c r="N131" s="83"/>
    </row>
    <row r="132" spans="14:14" x14ac:dyDescent="0.25">
      <c r="N132" s="83"/>
    </row>
    <row r="133" spans="14:14" x14ac:dyDescent="0.25">
      <c r="N133" s="83"/>
    </row>
    <row r="134" spans="14:14" x14ac:dyDescent="0.25">
      <c r="N134" s="83"/>
    </row>
    <row r="135" spans="14:14" x14ac:dyDescent="0.25">
      <c r="N135" s="83"/>
    </row>
    <row r="136" spans="14:14" x14ac:dyDescent="0.25">
      <c r="N136" s="83"/>
    </row>
    <row r="137" spans="14:14" x14ac:dyDescent="0.25">
      <c r="N137" s="83"/>
    </row>
    <row r="138" spans="14:14" x14ac:dyDescent="0.25">
      <c r="N138" s="83"/>
    </row>
    <row r="139" spans="14:14" x14ac:dyDescent="0.25">
      <c r="N139" s="83"/>
    </row>
    <row r="140" spans="14:14" x14ac:dyDescent="0.25">
      <c r="N140" s="83"/>
    </row>
    <row r="141" spans="14:14" x14ac:dyDescent="0.25">
      <c r="N141" s="83"/>
    </row>
    <row r="142" spans="14:14" x14ac:dyDescent="0.25">
      <c r="N142" s="83"/>
    </row>
    <row r="143" spans="14:14" x14ac:dyDescent="0.25">
      <c r="N143" s="83"/>
    </row>
    <row r="144" spans="14:14" x14ac:dyDescent="0.25">
      <c r="N144" s="83"/>
    </row>
    <row r="145" spans="14:14" x14ac:dyDescent="0.25">
      <c r="N145" s="83"/>
    </row>
    <row r="146" spans="14:14" x14ac:dyDescent="0.25">
      <c r="N146" s="83"/>
    </row>
    <row r="147" spans="14:14" x14ac:dyDescent="0.25">
      <c r="N147" s="83"/>
    </row>
    <row r="148" spans="14:14" x14ac:dyDescent="0.25">
      <c r="N148" s="83"/>
    </row>
    <row r="149" spans="14:14" x14ac:dyDescent="0.25">
      <c r="N149" s="83"/>
    </row>
    <row r="150" spans="14:14" x14ac:dyDescent="0.25">
      <c r="N150" s="83"/>
    </row>
    <row r="151" spans="14:14" x14ac:dyDescent="0.25">
      <c r="N151" s="83"/>
    </row>
    <row r="152" spans="14:14" x14ac:dyDescent="0.25">
      <c r="N152" s="83"/>
    </row>
    <row r="153" spans="14:14" x14ac:dyDescent="0.25">
      <c r="N153" s="83"/>
    </row>
    <row r="154" spans="14:14" x14ac:dyDescent="0.25">
      <c r="N154" s="83"/>
    </row>
    <row r="155" spans="14:14" x14ac:dyDescent="0.25">
      <c r="N155" s="83"/>
    </row>
    <row r="156" spans="14:14" x14ac:dyDescent="0.25">
      <c r="N156" s="83"/>
    </row>
    <row r="157" spans="14:14" x14ac:dyDescent="0.25">
      <c r="N157" s="83"/>
    </row>
    <row r="158" spans="14:14" x14ac:dyDescent="0.25">
      <c r="N158" s="83"/>
    </row>
    <row r="159" spans="14:14" x14ac:dyDescent="0.25">
      <c r="N159" s="83"/>
    </row>
    <row r="160" spans="14:14" x14ac:dyDescent="0.25">
      <c r="N160" s="83"/>
    </row>
    <row r="161" spans="14:14" x14ac:dyDescent="0.25">
      <c r="N161" s="83"/>
    </row>
    <row r="162" spans="14:14" x14ac:dyDescent="0.25">
      <c r="N162" s="83"/>
    </row>
    <row r="163" spans="14:14" x14ac:dyDescent="0.25">
      <c r="N163" s="83"/>
    </row>
    <row r="164" spans="14:14" x14ac:dyDescent="0.25">
      <c r="N164" s="83"/>
    </row>
    <row r="165" spans="14:14" x14ac:dyDescent="0.25">
      <c r="N165" s="83"/>
    </row>
    <row r="166" spans="14:14" x14ac:dyDescent="0.25">
      <c r="N166" s="83"/>
    </row>
    <row r="167" spans="14:14" x14ac:dyDescent="0.25">
      <c r="N167" s="83"/>
    </row>
    <row r="168" spans="14:14" x14ac:dyDescent="0.25">
      <c r="N168" s="83"/>
    </row>
    <row r="169" spans="14:14" x14ac:dyDescent="0.25">
      <c r="N169" s="83"/>
    </row>
    <row r="170" spans="14:14" x14ac:dyDescent="0.25">
      <c r="N170" s="83"/>
    </row>
    <row r="171" spans="14:14" x14ac:dyDescent="0.25">
      <c r="N171" s="83"/>
    </row>
    <row r="172" spans="14:14" x14ac:dyDescent="0.25">
      <c r="N172" s="83"/>
    </row>
    <row r="173" spans="14:14" x14ac:dyDescent="0.25">
      <c r="N173" s="83"/>
    </row>
    <row r="174" spans="14:14" x14ac:dyDescent="0.25">
      <c r="N174" s="83"/>
    </row>
    <row r="175" spans="14:14" x14ac:dyDescent="0.25">
      <c r="N175" s="83"/>
    </row>
    <row r="176" spans="14:14" x14ac:dyDescent="0.25">
      <c r="N176" s="83"/>
    </row>
    <row r="177" spans="14:14" x14ac:dyDescent="0.25">
      <c r="N177" s="83"/>
    </row>
    <row r="178" spans="14:14" x14ac:dyDescent="0.25">
      <c r="N178" s="83"/>
    </row>
    <row r="179" spans="14:14" x14ac:dyDescent="0.25">
      <c r="N179" s="83"/>
    </row>
    <row r="180" spans="14:14" x14ac:dyDescent="0.25">
      <c r="N180" s="83"/>
    </row>
    <row r="181" spans="14:14" x14ac:dyDescent="0.25">
      <c r="N181" s="83"/>
    </row>
    <row r="182" spans="14:14" x14ac:dyDescent="0.25">
      <c r="N182" s="83"/>
    </row>
    <row r="183" spans="14:14" x14ac:dyDescent="0.25">
      <c r="N183" s="83"/>
    </row>
    <row r="184" spans="14:14" x14ac:dyDescent="0.25">
      <c r="N184" s="83"/>
    </row>
    <row r="185" spans="14:14" x14ac:dyDescent="0.25">
      <c r="N185" s="83"/>
    </row>
    <row r="186" spans="14:14" x14ac:dyDescent="0.25">
      <c r="N186" s="83"/>
    </row>
  </sheetData>
  <autoFilter ref="A2:BK2" xr:uid="{00000000-0009-0000-0000-000006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600-000000000000}">
          <x14:formula1>
            <xm:f>datavalidation!$E$1:$E$2</xm:f>
          </x14:formula1>
          <xm:sqref>B3:C89</xm:sqref>
        </x14:dataValidation>
        <x14:dataValidation type="list" allowBlank="1" showInputMessage="1" showErrorMessage="1" xr:uid="{00000000-0002-0000-0600-000001000000}">
          <x14:formula1>
            <xm:f>datavalidation!$C$1:$C$8</xm:f>
          </x14:formula1>
          <xm:sqref>H3:H1048576</xm:sqref>
        </x14:dataValidation>
        <x14:dataValidation type="list" allowBlank="1" showInputMessage="1" showErrorMessage="1" xr:uid="{00000000-0002-0000-0600-000002000000}">
          <x14:formula1>
            <xm:f>datavalidation!$B$1:$B$8</xm:f>
          </x14:formula1>
          <xm:sqref>I3:I1048576</xm:sqref>
        </x14:dataValidation>
        <x14:dataValidation type="list" allowBlank="1" showInputMessage="1" showErrorMessage="1" xr:uid="{00000000-0002-0000-0600-000003000000}">
          <x14:formula1>
            <xm:f>'Event types'!$A$2:$A$949</xm:f>
          </x14:formula1>
          <xm:sqref>P4:P13 AJ15:AJ19 AF14:AF19 X14:X19 T14:T19 AB14:AB19 X56:X61 X36:X38 AF36:AF38 AB56:AB61 P82:P1048576 P20:P38</xm:sqref>
        </x14:dataValidation>
        <x14:dataValidation type="list" allowBlank="1" showInputMessage="1" showErrorMessage="1" xr:uid="{00000000-0002-0000-0600-000004000000}">
          <x14:formula1>
            <xm:f>'Event types'!$A$2:$A$56</xm:f>
          </x14:formula1>
          <xm:sqref>T3:T13 AB36:AB38 T20:T1048576 P39:P81</xm:sqref>
        </x14:dataValidation>
        <x14:dataValidation type="list" allowBlank="1" showInputMessage="1" showErrorMessage="1" xr:uid="{00000000-0002-0000-0600-000005000000}">
          <x14:formula1>
            <xm:f>'Event types'!$A$2:$A$102</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5"/>
  <sheetViews>
    <sheetView zoomScaleNormal="100" workbookViewId="0">
      <pane ySplit="1" topLeftCell="A2" activePane="bottomLeft" state="frozen"/>
      <selection pane="bottomLeft"/>
    </sheetView>
  </sheetViews>
  <sheetFormatPr defaultRowHeight="15" x14ac:dyDescent="0.25"/>
  <cols>
    <col min="1" max="1" width="21.42578125" bestFit="1" customWidth="1"/>
    <col min="2" max="2" width="61.42578125" bestFit="1" customWidth="1"/>
    <col min="3" max="3" width="45.140625" bestFit="1" customWidth="1"/>
    <col min="4" max="4" width="12.5703125" customWidth="1"/>
    <col min="5" max="5" width="14.28515625" bestFit="1" customWidth="1"/>
  </cols>
  <sheetData>
    <row r="1" spans="1:6" x14ac:dyDescent="0.25">
      <c r="A1" s="112" t="s">
        <v>92</v>
      </c>
      <c r="B1" s="112" t="s">
        <v>132</v>
      </c>
      <c r="C1" s="112" t="s">
        <v>133</v>
      </c>
      <c r="D1" s="112" t="s">
        <v>134</v>
      </c>
      <c r="E1" s="112" t="s">
        <v>135</v>
      </c>
      <c r="F1" s="112" t="s">
        <v>136</v>
      </c>
    </row>
    <row r="2" spans="1:6" x14ac:dyDescent="0.25">
      <c r="A2" s="105" t="s">
        <v>106</v>
      </c>
      <c r="B2" s="105" t="s">
        <v>137</v>
      </c>
      <c r="C2" s="105" t="s">
        <v>138</v>
      </c>
      <c r="D2" s="105" t="s">
        <v>139</v>
      </c>
      <c r="E2" s="105" t="s">
        <v>140</v>
      </c>
      <c r="F2" s="105" t="s">
        <v>27</v>
      </c>
    </row>
    <row r="3" spans="1:6" x14ac:dyDescent="0.25">
      <c r="A3" s="105" t="s">
        <v>901</v>
      </c>
      <c r="B3" s="105" t="s">
        <v>917</v>
      </c>
      <c r="C3" s="105" t="s">
        <v>910</v>
      </c>
      <c r="D3" s="105" t="s">
        <v>909</v>
      </c>
      <c r="E3" s="105" t="s">
        <v>140</v>
      </c>
      <c r="F3" s="105" t="s">
        <v>27</v>
      </c>
    </row>
    <row r="4" spans="1:6" x14ac:dyDescent="0.25">
      <c r="A4" s="105" t="s">
        <v>902</v>
      </c>
      <c r="B4" s="105" t="s">
        <v>918</v>
      </c>
      <c r="C4" s="105" t="s">
        <v>910</v>
      </c>
      <c r="D4" s="105" t="s">
        <v>909</v>
      </c>
      <c r="E4" s="105" t="s">
        <v>140</v>
      </c>
      <c r="F4" s="105" t="s">
        <v>27</v>
      </c>
    </row>
    <row r="5" spans="1:6" x14ac:dyDescent="0.25">
      <c r="A5" s="105" t="s">
        <v>903</v>
      </c>
      <c r="B5" s="105" t="s">
        <v>919</v>
      </c>
      <c r="C5" s="105" t="s">
        <v>910</v>
      </c>
      <c r="D5" s="105" t="s">
        <v>909</v>
      </c>
      <c r="E5" s="105" t="s">
        <v>140</v>
      </c>
      <c r="F5" s="105" t="s">
        <v>27</v>
      </c>
    </row>
    <row r="6" spans="1:6" x14ac:dyDescent="0.25">
      <c r="A6" s="105" t="s">
        <v>904</v>
      </c>
      <c r="B6" s="105" t="s">
        <v>920</v>
      </c>
      <c r="C6" s="105" t="s">
        <v>910</v>
      </c>
      <c r="D6" s="105" t="s">
        <v>909</v>
      </c>
      <c r="E6" s="105" t="s">
        <v>140</v>
      </c>
      <c r="F6" s="105" t="s">
        <v>27</v>
      </c>
    </row>
    <row r="7" spans="1:6" x14ac:dyDescent="0.25">
      <c r="A7" s="105" t="s">
        <v>716</v>
      </c>
      <c r="B7" s="105" t="s">
        <v>719</v>
      </c>
      <c r="C7" s="105" t="s">
        <v>720</v>
      </c>
      <c r="D7" s="105" t="s">
        <v>139</v>
      </c>
      <c r="E7" s="105" t="s">
        <v>140</v>
      </c>
      <c r="F7" s="105" t="s">
        <v>27</v>
      </c>
    </row>
    <row r="8" spans="1:6" x14ac:dyDescent="0.25">
      <c r="A8" s="105" t="s">
        <v>905</v>
      </c>
      <c r="B8" s="105" t="s">
        <v>921</v>
      </c>
      <c r="C8" s="105" t="s">
        <v>911</v>
      </c>
      <c r="D8" s="105" t="s">
        <v>909</v>
      </c>
      <c r="E8" s="105" t="s">
        <v>140</v>
      </c>
      <c r="F8" s="105" t="s">
        <v>27</v>
      </c>
    </row>
    <row r="9" spans="1:6" x14ac:dyDescent="0.25">
      <c r="A9" s="105" t="s">
        <v>906</v>
      </c>
      <c r="B9" s="105" t="s">
        <v>922</v>
      </c>
      <c r="C9" s="105" t="s">
        <v>911</v>
      </c>
      <c r="D9" s="105" t="s">
        <v>909</v>
      </c>
      <c r="E9" s="105" t="s">
        <v>140</v>
      </c>
      <c r="F9" s="105" t="s">
        <v>27</v>
      </c>
    </row>
    <row r="10" spans="1:6" x14ac:dyDescent="0.25">
      <c r="A10" s="105" t="s">
        <v>907</v>
      </c>
      <c r="B10" s="105" t="s">
        <v>923</v>
      </c>
      <c r="C10" s="105" t="s">
        <v>911</v>
      </c>
      <c r="D10" s="105" t="s">
        <v>909</v>
      </c>
      <c r="E10" s="105" t="s">
        <v>140</v>
      </c>
      <c r="F10" s="105" t="s">
        <v>27</v>
      </c>
    </row>
    <row r="11" spans="1:6" x14ac:dyDescent="0.25">
      <c r="A11" s="105" t="s">
        <v>908</v>
      </c>
      <c r="B11" s="105" t="s">
        <v>924</v>
      </c>
      <c r="C11" s="105" t="s">
        <v>911</v>
      </c>
      <c r="D11" s="105" t="s">
        <v>909</v>
      </c>
      <c r="E11" s="105" t="s">
        <v>140</v>
      </c>
      <c r="F11" s="105" t="s">
        <v>27</v>
      </c>
    </row>
    <row r="12" spans="1:6" x14ac:dyDescent="0.25">
      <c r="A12" s="105" t="s">
        <v>111</v>
      </c>
      <c r="B12" s="105" t="s">
        <v>141</v>
      </c>
      <c r="C12" s="105" t="s">
        <v>138</v>
      </c>
      <c r="D12" s="105" t="s">
        <v>139</v>
      </c>
      <c r="E12" s="105" t="s">
        <v>140</v>
      </c>
      <c r="F12" s="105" t="s">
        <v>27</v>
      </c>
    </row>
    <row r="13" spans="1:6" x14ac:dyDescent="0.25">
      <c r="A13" s="105" t="s">
        <v>717</v>
      </c>
      <c r="B13" s="105" t="s">
        <v>718</v>
      </c>
      <c r="C13" s="105" t="s">
        <v>721</v>
      </c>
      <c r="D13" s="105" t="s">
        <v>13</v>
      </c>
      <c r="E13" s="105" t="s">
        <v>10</v>
      </c>
      <c r="F13" s="105" t="s">
        <v>10</v>
      </c>
    </row>
    <row r="14" spans="1:6" x14ac:dyDescent="0.25">
      <c r="A14" s="105" t="s">
        <v>108</v>
      </c>
      <c r="B14" s="105" t="s">
        <v>142</v>
      </c>
      <c r="C14" s="105" t="s">
        <v>143</v>
      </c>
      <c r="D14" s="105" t="s">
        <v>139</v>
      </c>
      <c r="E14" s="105" t="s">
        <v>140</v>
      </c>
      <c r="F14" s="105" t="s">
        <v>27</v>
      </c>
    </row>
    <row r="15" spans="1:6" x14ac:dyDescent="0.25">
      <c r="A15" s="105" t="s">
        <v>109</v>
      </c>
      <c r="B15" s="105" t="s">
        <v>144</v>
      </c>
      <c r="C15" s="105" t="s">
        <v>143</v>
      </c>
      <c r="D15" s="105" t="s">
        <v>139</v>
      </c>
      <c r="E15" s="105" t="s">
        <v>140</v>
      </c>
      <c r="F15" s="105" t="s">
        <v>27</v>
      </c>
    </row>
    <row r="16" spans="1:6" x14ac:dyDescent="0.25">
      <c r="A16" s="105" t="s">
        <v>114</v>
      </c>
      <c r="B16" s="105" t="s">
        <v>145</v>
      </c>
      <c r="C16" s="105" t="s">
        <v>146</v>
      </c>
      <c r="D16" s="105" t="s">
        <v>147</v>
      </c>
      <c r="E16" s="105" t="s">
        <v>140</v>
      </c>
      <c r="F16" s="105" t="s">
        <v>148</v>
      </c>
    </row>
    <row r="17" spans="1:6" x14ac:dyDescent="0.25">
      <c r="A17" s="105" t="s">
        <v>107</v>
      </c>
      <c r="B17" s="105" t="s">
        <v>149</v>
      </c>
      <c r="C17" s="105" t="s">
        <v>146</v>
      </c>
      <c r="D17" s="105" t="s">
        <v>150</v>
      </c>
      <c r="E17" s="105" t="s">
        <v>140</v>
      </c>
      <c r="F17" s="105" t="s">
        <v>151</v>
      </c>
    </row>
    <row r="18" spans="1:6" x14ac:dyDescent="0.25">
      <c r="A18" s="105" t="s">
        <v>119</v>
      </c>
      <c r="B18" s="105" t="s">
        <v>152</v>
      </c>
      <c r="C18" s="105" t="s">
        <v>119</v>
      </c>
      <c r="D18" s="106" t="s">
        <v>10</v>
      </c>
      <c r="E18" s="105" t="s">
        <v>153</v>
      </c>
      <c r="F18" s="106" t="s">
        <v>10</v>
      </c>
    </row>
    <row r="19" spans="1:6" x14ac:dyDescent="0.25">
      <c r="A19" s="105" t="s">
        <v>115</v>
      </c>
      <c r="B19" s="105" t="s">
        <v>154</v>
      </c>
      <c r="C19" s="105" t="s">
        <v>155</v>
      </c>
      <c r="D19" s="105" t="s">
        <v>139</v>
      </c>
      <c r="E19" s="105" t="s">
        <v>156</v>
      </c>
      <c r="F19" s="105" t="s">
        <v>26</v>
      </c>
    </row>
    <row r="20" spans="1:6" x14ac:dyDescent="0.25">
      <c r="A20" s="105" t="s">
        <v>116</v>
      </c>
      <c r="B20" s="105" t="s">
        <v>157</v>
      </c>
      <c r="C20" s="105" t="s">
        <v>155</v>
      </c>
      <c r="D20" s="105" t="s">
        <v>139</v>
      </c>
      <c r="E20" s="105" t="s">
        <v>156</v>
      </c>
      <c r="F20" s="105" t="s">
        <v>26</v>
      </c>
    </row>
    <row r="21" spans="1:6" x14ac:dyDescent="0.25">
      <c r="A21" s="105" t="s">
        <v>118</v>
      </c>
      <c r="B21" s="105" t="s">
        <v>158</v>
      </c>
      <c r="C21" s="105" t="s">
        <v>155</v>
      </c>
      <c r="D21" s="105" t="s">
        <v>139</v>
      </c>
      <c r="E21" s="105" t="s">
        <v>156</v>
      </c>
      <c r="F21" s="105" t="s">
        <v>26</v>
      </c>
    </row>
    <row r="22" spans="1:6" x14ac:dyDescent="0.25">
      <c r="A22" s="105" t="s">
        <v>117</v>
      </c>
      <c r="B22" s="105" t="s">
        <v>159</v>
      </c>
      <c r="C22" s="105" t="s">
        <v>155</v>
      </c>
      <c r="D22" s="105" t="s">
        <v>139</v>
      </c>
      <c r="E22" s="105" t="s">
        <v>156</v>
      </c>
      <c r="F22" s="105" t="s">
        <v>26</v>
      </c>
    </row>
    <row r="23" spans="1:6" x14ac:dyDescent="0.25">
      <c r="A23" s="105" t="s">
        <v>160</v>
      </c>
      <c r="B23" s="105" t="s">
        <v>154</v>
      </c>
      <c r="C23" s="105" t="s">
        <v>161</v>
      </c>
      <c r="D23" s="105" t="s">
        <v>18</v>
      </c>
      <c r="E23" s="105" t="s">
        <v>162</v>
      </c>
      <c r="F23" s="105" t="s">
        <v>18</v>
      </c>
    </row>
    <row r="24" spans="1:6" x14ac:dyDescent="0.25">
      <c r="A24" s="105" t="s">
        <v>163</v>
      </c>
      <c r="B24" s="105" t="s">
        <v>157</v>
      </c>
      <c r="C24" s="105" t="s">
        <v>161</v>
      </c>
      <c r="D24" s="105" t="s">
        <v>18</v>
      </c>
      <c r="E24" s="105" t="s">
        <v>162</v>
      </c>
      <c r="F24" s="105" t="s">
        <v>18</v>
      </c>
    </row>
    <row r="25" spans="1:6" x14ac:dyDescent="0.25">
      <c r="A25" s="105" t="s">
        <v>164</v>
      </c>
      <c r="B25" s="105" t="s">
        <v>158</v>
      </c>
      <c r="C25" s="105" t="s">
        <v>161</v>
      </c>
      <c r="D25" s="105" t="s">
        <v>18</v>
      </c>
      <c r="E25" s="105" t="s">
        <v>162</v>
      </c>
      <c r="F25" s="105" t="s">
        <v>18</v>
      </c>
    </row>
    <row r="26" spans="1:6" x14ac:dyDescent="0.25">
      <c r="A26" s="105" t="s">
        <v>130</v>
      </c>
      <c r="B26" s="105" t="s">
        <v>159</v>
      </c>
      <c r="C26" s="105" t="s">
        <v>161</v>
      </c>
      <c r="D26" s="105" t="s">
        <v>18</v>
      </c>
      <c r="E26" s="105" t="s">
        <v>162</v>
      </c>
      <c r="F26" s="105" t="s">
        <v>18</v>
      </c>
    </row>
    <row r="27" spans="1:6" x14ac:dyDescent="0.25">
      <c r="A27" s="105" t="s">
        <v>131</v>
      </c>
      <c r="B27" s="105" t="s">
        <v>165</v>
      </c>
      <c r="C27" s="105" t="s">
        <v>166</v>
      </c>
      <c r="D27" s="105" t="s">
        <v>166</v>
      </c>
      <c r="E27" s="105" t="s">
        <v>166</v>
      </c>
      <c r="F27" s="105" t="s">
        <v>166</v>
      </c>
    </row>
    <row r="28" spans="1:6" ht="30" x14ac:dyDescent="0.25">
      <c r="A28" s="107" t="s">
        <v>167</v>
      </c>
      <c r="B28" s="108" t="s">
        <v>168</v>
      </c>
      <c r="C28" s="107" t="s">
        <v>169</v>
      </c>
      <c r="D28" s="107" t="s">
        <v>166</v>
      </c>
      <c r="E28" s="107" t="s">
        <v>170</v>
      </c>
      <c r="F28" s="109" t="s">
        <v>10</v>
      </c>
    </row>
    <row r="29" spans="1:6" ht="30" x14ac:dyDescent="0.25">
      <c r="A29" s="107" t="s">
        <v>128</v>
      </c>
      <c r="B29" s="108" t="s">
        <v>171</v>
      </c>
      <c r="C29" s="107" t="s">
        <v>169</v>
      </c>
      <c r="D29" s="107" t="s">
        <v>166</v>
      </c>
      <c r="E29" s="107" t="s">
        <v>170</v>
      </c>
      <c r="F29" s="109" t="s">
        <v>10</v>
      </c>
    </row>
    <row r="30" spans="1:6" ht="30" x14ac:dyDescent="0.25">
      <c r="A30" s="107" t="s">
        <v>124</v>
      </c>
      <c r="B30" s="108" t="s">
        <v>172</v>
      </c>
      <c r="C30" s="107" t="s">
        <v>169</v>
      </c>
      <c r="D30" s="107" t="s">
        <v>166</v>
      </c>
      <c r="E30" s="107" t="s">
        <v>170</v>
      </c>
      <c r="F30" s="109" t="s">
        <v>10</v>
      </c>
    </row>
    <row r="31" spans="1:6" ht="30" x14ac:dyDescent="0.25">
      <c r="A31" s="107" t="s">
        <v>127</v>
      </c>
      <c r="B31" s="108" t="s">
        <v>173</v>
      </c>
      <c r="C31" s="107" t="s">
        <v>169</v>
      </c>
      <c r="D31" s="107" t="s">
        <v>166</v>
      </c>
      <c r="E31" s="107" t="s">
        <v>170</v>
      </c>
      <c r="F31" s="109" t="s">
        <v>10</v>
      </c>
    </row>
    <row r="32" spans="1:6" ht="30" x14ac:dyDescent="0.25">
      <c r="A32" s="107" t="s">
        <v>174</v>
      </c>
      <c r="B32" s="108" t="s">
        <v>175</v>
      </c>
      <c r="C32" s="107" t="s">
        <v>169</v>
      </c>
      <c r="D32" s="107" t="s">
        <v>166</v>
      </c>
      <c r="E32" s="107" t="s">
        <v>170</v>
      </c>
      <c r="F32" s="109" t="s">
        <v>10</v>
      </c>
    </row>
    <row r="33" spans="1:6" ht="44.25" customHeight="1" x14ac:dyDescent="0.25">
      <c r="A33" s="107" t="s">
        <v>121</v>
      </c>
      <c r="B33" s="108" t="s">
        <v>176</v>
      </c>
      <c r="C33" s="107" t="s">
        <v>169</v>
      </c>
      <c r="D33" s="107" t="s">
        <v>166</v>
      </c>
      <c r="E33" s="107" t="s">
        <v>170</v>
      </c>
      <c r="F33" s="109" t="s">
        <v>10</v>
      </c>
    </row>
    <row r="34" spans="1:6" x14ac:dyDescent="0.25">
      <c r="A34" s="107" t="s">
        <v>113</v>
      </c>
      <c r="B34" s="108" t="s">
        <v>227</v>
      </c>
      <c r="C34" s="107" t="s">
        <v>177</v>
      </c>
      <c r="D34" s="109" t="s">
        <v>178</v>
      </c>
      <c r="E34" s="107" t="s">
        <v>140</v>
      </c>
      <c r="F34" s="109" t="s">
        <v>179</v>
      </c>
    </row>
    <row r="35" spans="1:6" x14ac:dyDescent="0.25">
      <c r="A35" s="107" t="s">
        <v>123</v>
      </c>
      <c r="B35" s="108" t="s">
        <v>228</v>
      </c>
      <c r="C35" s="107" t="s">
        <v>177</v>
      </c>
      <c r="D35" s="109" t="s">
        <v>178</v>
      </c>
      <c r="E35" s="107" t="s">
        <v>140</v>
      </c>
      <c r="F35" s="109" t="s">
        <v>179</v>
      </c>
    </row>
    <row r="36" spans="1:6" x14ac:dyDescent="0.25">
      <c r="A36" s="107" t="s">
        <v>180</v>
      </c>
      <c r="B36" s="108" t="s">
        <v>229</v>
      </c>
      <c r="C36" s="107" t="s">
        <v>177</v>
      </c>
      <c r="D36" s="109" t="s">
        <v>178</v>
      </c>
      <c r="E36" s="107" t="s">
        <v>140</v>
      </c>
      <c r="F36" s="109" t="s">
        <v>179</v>
      </c>
    </row>
    <row r="37" spans="1:6" x14ac:dyDescent="0.25">
      <c r="A37" s="107" t="s">
        <v>181</v>
      </c>
      <c r="B37" s="108" t="s">
        <v>230</v>
      </c>
      <c r="C37" s="107" t="s">
        <v>177</v>
      </c>
      <c r="D37" s="109" t="s">
        <v>178</v>
      </c>
      <c r="E37" s="107" t="s">
        <v>140</v>
      </c>
      <c r="F37" s="109" t="s">
        <v>179</v>
      </c>
    </row>
    <row r="38" spans="1:6" x14ac:dyDescent="0.25">
      <c r="A38" s="107" t="s">
        <v>129</v>
      </c>
      <c r="B38" s="108" t="s">
        <v>231</v>
      </c>
      <c r="C38" s="107" t="s">
        <v>177</v>
      </c>
      <c r="D38" s="109" t="s">
        <v>178</v>
      </c>
      <c r="E38" s="107" t="s">
        <v>140</v>
      </c>
      <c r="F38" s="109" t="s">
        <v>179</v>
      </c>
    </row>
    <row r="39" spans="1:6" x14ac:dyDescent="0.25">
      <c r="A39" s="107" t="s">
        <v>182</v>
      </c>
      <c r="B39" s="108" t="s">
        <v>232</v>
      </c>
      <c r="C39" s="107" t="s">
        <v>177</v>
      </c>
      <c r="D39" s="109" t="s">
        <v>178</v>
      </c>
      <c r="E39" s="107" t="s">
        <v>140</v>
      </c>
      <c r="F39" s="109" t="s">
        <v>179</v>
      </c>
    </row>
    <row r="40" spans="1:6" x14ac:dyDescent="0.25">
      <c r="A40" s="107" t="s">
        <v>183</v>
      </c>
      <c r="B40" s="108" t="s">
        <v>233</v>
      </c>
      <c r="C40" s="107" t="s">
        <v>177</v>
      </c>
      <c r="D40" s="109" t="s">
        <v>178</v>
      </c>
      <c r="E40" s="107" t="s">
        <v>140</v>
      </c>
      <c r="F40" s="109" t="s">
        <v>179</v>
      </c>
    </row>
    <row r="41" spans="1:6" x14ac:dyDescent="0.25">
      <c r="A41" s="107" t="s">
        <v>184</v>
      </c>
      <c r="B41" s="108" t="s">
        <v>234</v>
      </c>
      <c r="C41" s="107" t="s">
        <v>177</v>
      </c>
      <c r="D41" s="109" t="s">
        <v>178</v>
      </c>
      <c r="E41" s="107" t="s">
        <v>140</v>
      </c>
      <c r="F41" s="109" t="s">
        <v>179</v>
      </c>
    </row>
    <row r="42" spans="1:6" x14ac:dyDescent="0.25">
      <c r="A42" s="107" t="s">
        <v>185</v>
      </c>
      <c r="B42" s="108" t="s">
        <v>235</v>
      </c>
      <c r="C42" s="107" t="s">
        <v>177</v>
      </c>
      <c r="D42" s="109" t="s">
        <v>178</v>
      </c>
      <c r="E42" s="107" t="s">
        <v>140</v>
      </c>
      <c r="F42" s="109" t="s">
        <v>179</v>
      </c>
    </row>
    <row r="43" spans="1:6" x14ac:dyDescent="0.25">
      <c r="A43" s="107" t="s">
        <v>186</v>
      </c>
      <c r="B43" s="108" t="s">
        <v>236</v>
      </c>
      <c r="C43" s="107" t="s">
        <v>177</v>
      </c>
      <c r="D43" s="109" t="s">
        <v>178</v>
      </c>
      <c r="E43" s="107" t="s">
        <v>140</v>
      </c>
      <c r="F43" s="109" t="s">
        <v>179</v>
      </c>
    </row>
    <row r="44" spans="1:6" ht="30" x14ac:dyDescent="0.25">
      <c r="A44" s="107" t="s">
        <v>187</v>
      </c>
      <c r="B44" s="108" t="s">
        <v>188</v>
      </c>
      <c r="C44" s="107" t="s">
        <v>169</v>
      </c>
      <c r="D44" s="107" t="s">
        <v>166</v>
      </c>
      <c r="E44" s="107" t="s">
        <v>170</v>
      </c>
      <c r="F44" s="109" t="s">
        <v>10</v>
      </c>
    </row>
    <row r="45" spans="1:6" ht="30" x14ac:dyDescent="0.25">
      <c r="A45" s="107" t="s">
        <v>189</v>
      </c>
      <c r="B45" s="108" t="s">
        <v>190</v>
      </c>
      <c r="C45" s="107" t="s">
        <v>169</v>
      </c>
      <c r="D45" s="107" t="s">
        <v>166</v>
      </c>
      <c r="E45" s="107" t="s">
        <v>170</v>
      </c>
      <c r="F45" s="109" t="s">
        <v>10</v>
      </c>
    </row>
    <row r="46" spans="1:6" ht="30" x14ac:dyDescent="0.25">
      <c r="A46" s="107" t="s">
        <v>191</v>
      </c>
      <c r="B46" s="108" t="s">
        <v>192</v>
      </c>
      <c r="C46" s="107" t="s">
        <v>169</v>
      </c>
      <c r="D46" s="107" t="s">
        <v>166</v>
      </c>
      <c r="E46" s="107" t="s">
        <v>170</v>
      </c>
      <c r="F46" s="109" t="s">
        <v>10</v>
      </c>
    </row>
    <row r="47" spans="1:6" ht="30" x14ac:dyDescent="0.25">
      <c r="A47" s="107" t="s">
        <v>193</v>
      </c>
      <c r="B47" s="108" t="s">
        <v>194</v>
      </c>
      <c r="C47" s="107" t="s">
        <v>169</v>
      </c>
      <c r="D47" s="107" t="s">
        <v>166</v>
      </c>
      <c r="E47" s="107" t="s">
        <v>170</v>
      </c>
      <c r="F47" s="109" t="s">
        <v>10</v>
      </c>
    </row>
    <row r="48" spans="1:6" ht="30" x14ac:dyDescent="0.25">
      <c r="A48" s="107" t="s">
        <v>195</v>
      </c>
      <c r="B48" s="108" t="s">
        <v>196</v>
      </c>
      <c r="C48" s="107" t="s">
        <v>169</v>
      </c>
      <c r="D48" s="107" t="s">
        <v>166</v>
      </c>
      <c r="E48" s="107" t="s">
        <v>170</v>
      </c>
      <c r="F48" s="109" t="s">
        <v>10</v>
      </c>
    </row>
    <row r="49" spans="1:6" ht="30" x14ac:dyDescent="0.25">
      <c r="A49" s="107" t="s">
        <v>197</v>
      </c>
      <c r="B49" s="108" t="s">
        <v>198</v>
      </c>
      <c r="C49" s="107" t="s">
        <v>169</v>
      </c>
      <c r="D49" s="107" t="s">
        <v>166</v>
      </c>
      <c r="E49" s="107" t="s">
        <v>170</v>
      </c>
      <c r="F49" s="109" t="s">
        <v>10</v>
      </c>
    </row>
    <row r="50" spans="1:6" ht="30" x14ac:dyDescent="0.25">
      <c r="A50" s="107" t="s">
        <v>199</v>
      </c>
      <c r="B50" s="108" t="s">
        <v>200</v>
      </c>
      <c r="C50" s="107" t="s">
        <v>169</v>
      </c>
      <c r="D50" s="107" t="s">
        <v>166</v>
      </c>
      <c r="E50" s="107" t="s">
        <v>170</v>
      </c>
      <c r="F50" s="109" t="s">
        <v>10</v>
      </c>
    </row>
    <row r="51" spans="1:6" ht="30" x14ac:dyDescent="0.25">
      <c r="A51" s="107" t="s">
        <v>201</v>
      </c>
      <c r="B51" s="108" t="s">
        <v>202</v>
      </c>
      <c r="C51" s="107" t="s">
        <v>169</v>
      </c>
      <c r="D51" s="107" t="s">
        <v>166</v>
      </c>
      <c r="E51" s="107" t="s">
        <v>170</v>
      </c>
      <c r="F51" s="109" t="s">
        <v>10</v>
      </c>
    </row>
    <row r="52" spans="1:6" ht="30" x14ac:dyDescent="0.25">
      <c r="A52" s="107" t="s">
        <v>203</v>
      </c>
      <c r="B52" s="108" t="s">
        <v>204</v>
      </c>
      <c r="C52" s="107" t="s">
        <v>169</v>
      </c>
      <c r="D52" s="107" t="s">
        <v>166</v>
      </c>
      <c r="E52" s="107" t="s">
        <v>170</v>
      </c>
      <c r="F52" s="109" t="s">
        <v>10</v>
      </c>
    </row>
    <row r="53" spans="1:6" ht="30" x14ac:dyDescent="0.25">
      <c r="A53" s="107" t="s">
        <v>205</v>
      </c>
      <c r="B53" s="108" t="s">
        <v>206</v>
      </c>
      <c r="C53" s="107" t="s">
        <v>169</v>
      </c>
      <c r="D53" s="107" t="s">
        <v>166</v>
      </c>
      <c r="E53" s="107" t="s">
        <v>170</v>
      </c>
      <c r="F53" s="109" t="s">
        <v>10</v>
      </c>
    </row>
    <row r="54" spans="1:6" ht="30" x14ac:dyDescent="0.25">
      <c r="A54" s="110" t="s">
        <v>120</v>
      </c>
      <c r="B54" s="111" t="s">
        <v>207</v>
      </c>
      <c r="C54" s="110" t="s">
        <v>166</v>
      </c>
      <c r="D54" s="110" t="s">
        <v>166</v>
      </c>
      <c r="E54" s="110" t="s">
        <v>166</v>
      </c>
      <c r="F54" s="110" t="s">
        <v>166</v>
      </c>
    </row>
    <row r="55" spans="1:6" x14ac:dyDescent="0.25">
      <c r="A55" s="110" t="s">
        <v>208</v>
      </c>
      <c r="B55" s="111" t="s">
        <v>209</v>
      </c>
      <c r="C55" s="110" t="s">
        <v>166</v>
      </c>
      <c r="D55" s="110" t="s">
        <v>166</v>
      </c>
      <c r="E55" s="110" t="s">
        <v>166</v>
      </c>
      <c r="F55"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H177"/>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style="144" customWidth="1"/>
  </cols>
  <sheetData>
    <row r="1" spans="1:4" ht="15.75" thickBot="1" x14ac:dyDescent="0.3">
      <c r="A1" s="328" t="s">
        <v>89</v>
      </c>
      <c r="B1" s="13" t="s">
        <v>92</v>
      </c>
      <c r="C1" s="329" t="s">
        <v>480</v>
      </c>
      <c r="D1" s="333" t="s">
        <v>0</v>
      </c>
    </row>
    <row r="2" spans="1:4" ht="15" customHeight="1" x14ac:dyDescent="0.25">
      <c r="A2" s="326">
        <v>1</v>
      </c>
      <c r="B2" s="326" t="s">
        <v>553</v>
      </c>
      <c r="C2" s="400" t="s">
        <v>361</v>
      </c>
      <c r="D2" s="146" t="s">
        <v>362</v>
      </c>
    </row>
    <row r="3" spans="1:4" x14ac:dyDescent="0.25">
      <c r="A3" s="327">
        <v>2</v>
      </c>
      <c r="B3" s="327" t="s">
        <v>554</v>
      </c>
      <c r="C3" s="401"/>
      <c r="D3" s="139" t="s">
        <v>363</v>
      </c>
    </row>
    <row r="4" spans="1:4" x14ac:dyDescent="0.25">
      <c r="A4" s="327">
        <v>3</v>
      </c>
      <c r="B4" s="327" t="s">
        <v>555</v>
      </c>
      <c r="C4" s="401"/>
      <c r="D4" s="139" t="s">
        <v>10</v>
      </c>
    </row>
    <row r="5" spans="1:4" x14ac:dyDescent="0.25">
      <c r="A5" s="327">
        <v>4</v>
      </c>
      <c r="B5" s="327" t="s">
        <v>556</v>
      </c>
      <c r="C5" s="401"/>
      <c r="D5" s="139" t="s">
        <v>10</v>
      </c>
    </row>
    <row r="6" spans="1:4" x14ac:dyDescent="0.25">
      <c r="A6" s="327">
        <v>5</v>
      </c>
      <c r="B6" s="327" t="s">
        <v>557</v>
      </c>
      <c r="C6" s="401"/>
      <c r="D6" s="139" t="s">
        <v>10</v>
      </c>
    </row>
    <row r="7" spans="1:4" x14ac:dyDescent="0.25">
      <c r="A7" s="327">
        <v>6</v>
      </c>
      <c r="B7" s="327" t="s">
        <v>558</v>
      </c>
      <c r="C7" s="401"/>
      <c r="D7" s="139" t="s">
        <v>10</v>
      </c>
    </row>
    <row r="8" spans="1:4" x14ac:dyDescent="0.25">
      <c r="A8" s="327">
        <v>7</v>
      </c>
      <c r="B8" s="327" t="s">
        <v>559</v>
      </c>
      <c r="C8" s="401"/>
      <c r="D8" s="139" t="s">
        <v>10</v>
      </c>
    </row>
    <row r="9" spans="1:4" x14ac:dyDescent="0.25">
      <c r="A9" s="327">
        <v>8</v>
      </c>
      <c r="B9" s="327" t="s">
        <v>560</v>
      </c>
      <c r="C9" s="401"/>
      <c r="D9" s="139" t="s">
        <v>10</v>
      </c>
    </row>
    <row r="10" spans="1:4" x14ac:dyDescent="0.25">
      <c r="A10" s="327">
        <v>9</v>
      </c>
      <c r="B10" s="327" t="s">
        <v>562</v>
      </c>
      <c r="C10" s="401"/>
      <c r="D10" s="139" t="s">
        <v>10</v>
      </c>
    </row>
    <row r="11" spans="1:4" ht="15.75" thickBot="1" x14ac:dyDescent="0.3">
      <c r="A11" s="205">
        <v>10</v>
      </c>
      <c r="B11" s="205" t="s">
        <v>561</v>
      </c>
      <c r="C11" s="402"/>
      <c r="D11" s="143" t="s">
        <v>10</v>
      </c>
    </row>
    <row r="12" spans="1:4" x14ac:dyDescent="0.25">
      <c r="A12" s="129">
        <v>11</v>
      </c>
      <c r="B12" s="129" t="s">
        <v>563</v>
      </c>
      <c r="C12" s="400" t="s">
        <v>364</v>
      </c>
      <c r="D12" s="146" t="s">
        <v>365</v>
      </c>
    </row>
    <row r="13" spans="1:4" x14ac:dyDescent="0.25">
      <c r="A13" s="130">
        <v>12</v>
      </c>
      <c r="B13" s="130" t="s">
        <v>564</v>
      </c>
      <c r="C13" s="401"/>
      <c r="D13" s="139" t="s">
        <v>366</v>
      </c>
    </row>
    <row r="14" spans="1:4" x14ac:dyDescent="0.25">
      <c r="A14" s="130">
        <v>13</v>
      </c>
      <c r="B14" s="130" t="s">
        <v>565</v>
      </c>
      <c r="C14" s="401"/>
      <c r="D14" s="139" t="s">
        <v>10</v>
      </c>
    </row>
    <row r="15" spans="1:4" x14ac:dyDescent="0.25">
      <c r="A15" s="130">
        <v>14</v>
      </c>
      <c r="B15" s="130" t="s">
        <v>566</v>
      </c>
      <c r="C15" s="401"/>
      <c r="D15" s="139" t="s">
        <v>10</v>
      </c>
    </row>
    <row r="16" spans="1:4" x14ac:dyDescent="0.25">
      <c r="A16" s="130">
        <v>15</v>
      </c>
      <c r="B16" s="130" t="s">
        <v>567</v>
      </c>
      <c r="C16" s="401"/>
      <c r="D16" s="139" t="s">
        <v>10</v>
      </c>
    </row>
    <row r="17" spans="1:4" ht="15.75" thickBot="1" x14ac:dyDescent="0.3">
      <c r="A17" s="131">
        <v>16</v>
      </c>
      <c r="B17" s="131" t="s">
        <v>568</v>
      </c>
      <c r="C17" s="402"/>
      <c r="D17" s="143" t="s">
        <v>10</v>
      </c>
    </row>
    <row r="18" spans="1:4" x14ac:dyDescent="0.25">
      <c r="A18" s="132">
        <v>17</v>
      </c>
      <c r="B18" s="132" t="s">
        <v>569</v>
      </c>
      <c r="C18" s="400" t="s">
        <v>107</v>
      </c>
      <c r="D18" s="146" t="s">
        <v>367</v>
      </c>
    </row>
    <row r="19" spans="1:4" x14ac:dyDescent="0.25">
      <c r="A19" s="134">
        <v>18</v>
      </c>
      <c r="B19" s="134" t="s">
        <v>570</v>
      </c>
      <c r="C19" s="401"/>
      <c r="D19" s="139" t="s">
        <v>368</v>
      </c>
    </row>
    <row r="20" spans="1:4" x14ac:dyDescent="0.25">
      <c r="A20" s="133">
        <v>19</v>
      </c>
      <c r="B20" s="133" t="s">
        <v>571</v>
      </c>
      <c r="C20" s="401"/>
      <c r="D20" s="139" t="s">
        <v>369</v>
      </c>
    </row>
    <row r="21" spans="1:4" x14ac:dyDescent="0.25">
      <c r="A21" s="133">
        <v>20</v>
      </c>
      <c r="B21" s="133" t="s">
        <v>572</v>
      </c>
      <c r="C21" s="401"/>
      <c r="D21" s="139" t="s">
        <v>370</v>
      </c>
    </row>
    <row r="22" spans="1:4" x14ac:dyDescent="0.25">
      <c r="A22" s="133">
        <v>21</v>
      </c>
      <c r="B22" s="133" t="s">
        <v>573</v>
      </c>
      <c r="C22" s="401"/>
      <c r="D22" s="139" t="s">
        <v>371</v>
      </c>
    </row>
    <row r="23" spans="1:4" x14ac:dyDescent="0.25">
      <c r="A23" s="133">
        <v>22</v>
      </c>
      <c r="B23" s="133" t="s">
        <v>574</v>
      </c>
      <c r="C23" s="401"/>
      <c r="D23" s="139" t="s">
        <v>372</v>
      </c>
    </row>
    <row r="24" spans="1:4" x14ac:dyDescent="0.25">
      <c r="A24" s="133">
        <v>23</v>
      </c>
      <c r="B24" s="133" t="s">
        <v>575</v>
      </c>
      <c r="C24" s="401"/>
      <c r="D24" s="139" t="s">
        <v>10</v>
      </c>
    </row>
    <row r="25" spans="1:4" x14ac:dyDescent="0.25">
      <c r="A25" s="133">
        <v>24</v>
      </c>
      <c r="B25" s="133" t="s">
        <v>576</v>
      </c>
      <c r="C25" s="401"/>
      <c r="D25" s="139" t="s">
        <v>373</v>
      </c>
    </row>
    <row r="26" spans="1:4" x14ac:dyDescent="0.25">
      <c r="A26" s="133">
        <v>25</v>
      </c>
      <c r="B26" s="133" t="s">
        <v>577</v>
      </c>
      <c r="C26" s="401"/>
      <c r="D26" s="139" t="s">
        <v>10</v>
      </c>
    </row>
    <row r="27" spans="1:4" ht="15" customHeight="1" x14ac:dyDescent="0.25">
      <c r="A27" s="134">
        <v>26</v>
      </c>
      <c r="B27" s="134" t="s">
        <v>637</v>
      </c>
      <c r="C27" s="401"/>
      <c r="D27" s="139" t="s">
        <v>374</v>
      </c>
    </row>
    <row r="28" spans="1:4" ht="15.75" thickBot="1" x14ac:dyDescent="0.3">
      <c r="A28" s="134">
        <v>27</v>
      </c>
      <c r="B28" s="134" t="s">
        <v>638</v>
      </c>
      <c r="C28" s="402"/>
      <c r="D28" s="139" t="s">
        <v>375</v>
      </c>
    </row>
    <row r="29" spans="1:4" ht="30" customHeight="1" x14ac:dyDescent="0.25">
      <c r="A29" s="136">
        <v>28</v>
      </c>
      <c r="B29" s="136" t="s">
        <v>578</v>
      </c>
      <c r="C29" s="400" t="s">
        <v>376</v>
      </c>
      <c r="D29" s="146" t="s">
        <v>377</v>
      </c>
    </row>
    <row r="30" spans="1:4" ht="60" x14ac:dyDescent="0.25">
      <c r="A30" s="137">
        <v>29</v>
      </c>
      <c r="B30" s="137" t="s">
        <v>579</v>
      </c>
      <c r="C30" s="401"/>
      <c r="D30" s="139" t="s">
        <v>489</v>
      </c>
    </row>
    <row r="31" spans="1:4" x14ac:dyDescent="0.25">
      <c r="A31" s="138">
        <v>30</v>
      </c>
      <c r="B31" s="138" t="s">
        <v>580</v>
      </c>
      <c r="C31" s="401"/>
      <c r="D31" s="139" t="s">
        <v>378</v>
      </c>
    </row>
    <row r="32" spans="1:4" x14ac:dyDescent="0.25">
      <c r="A32" s="138">
        <v>31</v>
      </c>
      <c r="B32" s="138" t="s">
        <v>581</v>
      </c>
      <c r="C32" s="401"/>
      <c r="D32" s="139" t="s">
        <v>379</v>
      </c>
    </row>
    <row r="33" spans="1:8" ht="45" x14ac:dyDescent="0.25">
      <c r="A33" s="138">
        <v>32</v>
      </c>
      <c r="B33" s="138" t="s">
        <v>582</v>
      </c>
      <c r="C33" s="401"/>
      <c r="D33" s="139" t="s">
        <v>380</v>
      </c>
    </row>
    <row r="34" spans="1:8" x14ac:dyDescent="0.25">
      <c r="A34" s="137">
        <v>33</v>
      </c>
      <c r="B34" s="137" t="s">
        <v>583</v>
      </c>
      <c r="C34" s="401"/>
      <c r="D34" s="139" t="s">
        <v>381</v>
      </c>
    </row>
    <row r="35" spans="1:8" x14ac:dyDescent="0.25">
      <c r="A35" s="138">
        <v>34</v>
      </c>
      <c r="B35" s="138" t="s">
        <v>584</v>
      </c>
      <c r="C35" s="401"/>
      <c r="D35" s="139" t="s">
        <v>382</v>
      </c>
    </row>
    <row r="36" spans="1:8" x14ac:dyDescent="0.25">
      <c r="A36" s="137">
        <v>35</v>
      </c>
      <c r="B36" s="137" t="s">
        <v>585</v>
      </c>
      <c r="C36" s="401"/>
      <c r="D36" s="139" t="s">
        <v>382</v>
      </c>
    </row>
    <row r="37" spans="1:8" x14ac:dyDescent="0.25">
      <c r="A37" s="138">
        <v>36</v>
      </c>
      <c r="B37" s="138" t="s">
        <v>586</v>
      </c>
      <c r="C37" s="401"/>
      <c r="D37" s="139" t="s">
        <v>383</v>
      </c>
    </row>
    <row r="38" spans="1:8" x14ac:dyDescent="0.25">
      <c r="A38" s="137">
        <v>37</v>
      </c>
      <c r="B38" s="137" t="s">
        <v>587</v>
      </c>
      <c r="C38" s="401"/>
      <c r="D38" s="139" t="s">
        <v>383</v>
      </c>
    </row>
    <row r="39" spans="1:8" ht="45" x14ac:dyDescent="0.25">
      <c r="A39" s="138">
        <v>38</v>
      </c>
      <c r="B39" s="138" t="s">
        <v>588</v>
      </c>
      <c r="C39" s="401"/>
      <c r="D39" s="139" t="s">
        <v>485</v>
      </c>
    </row>
    <row r="40" spans="1:8" ht="15" customHeight="1" x14ac:dyDescent="0.25">
      <c r="A40" s="137">
        <v>39</v>
      </c>
      <c r="B40" s="137" t="s">
        <v>589</v>
      </c>
      <c r="C40" s="401"/>
      <c r="D40" s="139" t="s">
        <v>384</v>
      </c>
    </row>
    <row r="41" spans="1:8" x14ac:dyDescent="0.25">
      <c r="A41" s="138">
        <v>40</v>
      </c>
      <c r="B41" s="138" t="s">
        <v>590</v>
      </c>
      <c r="C41" s="401"/>
      <c r="D41" s="139" t="s">
        <v>385</v>
      </c>
    </row>
    <row r="42" spans="1:8" ht="75" x14ac:dyDescent="0.25">
      <c r="A42" s="137">
        <v>41</v>
      </c>
      <c r="B42" s="137" t="s">
        <v>591</v>
      </c>
      <c r="C42" s="401"/>
      <c r="D42" s="139" t="s">
        <v>386</v>
      </c>
    </row>
    <row r="43" spans="1:8" ht="30.75" thickBot="1" x14ac:dyDescent="0.3">
      <c r="A43" s="141">
        <v>42</v>
      </c>
      <c r="B43" s="141" t="s">
        <v>592</v>
      </c>
      <c r="C43" s="402"/>
      <c r="D43" s="143" t="s">
        <v>387</v>
      </c>
      <c r="H43" s="144"/>
    </row>
    <row r="44" spans="1:8" ht="30" customHeight="1" x14ac:dyDescent="0.25">
      <c r="A44" s="145">
        <v>43</v>
      </c>
      <c r="B44" s="145" t="s">
        <v>593</v>
      </c>
      <c r="C44" s="400" t="s">
        <v>388</v>
      </c>
      <c r="D44" s="146" t="s">
        <v>389</v>
      </c>
    </row>
    <row r="45" spans="1:8" x14ac:dyDescent="0.25">
      <c r="A45" s="147">
        <v>44</v>
      </c>
      <c r="B45" s="147" t="s">
        <v>594</v>
      </c>
      <c r="C45" s="401"/>
      <c r="D45" s="139" t="s">
        <v>10</v>
      </c>
    </row>
    <row r="46" spans="1:8" x14ac:dyDescent="0.25">
      <c r="A46" s="147">
        <v>45</v>
      </c>
      <c r="B46" s="147" t="s">
        <v>595</v>
      </c>
      <c r="C46" s="401"/>
      <c r="D46" s="139" t="s">
        <v>389</v>
      </c>
    </row>
    <row r="47" spans="1:8" ht="30" x14ac:dyDescent="0.25">
      <c r="A47" s="147">
        <v>46</v>
      </c>
      <c r="B47" s="147" t="s">
        <v>596</v>
      </c>
      <c r="C47" s="401"/>
      <c r="D47" s="139" t="s">
        <v>390</v>
      </c>
    </row>
    <row r="48" spans="1:8" x14ac:dyDescent="0.25">
      <c r="A48" s="147">
        <v>47</v>
      </c>
      <c r="B48" s="147" t="s">
        <v>597</v>
      </c>
      <c r="C48" s="401"/>
      <c r="D48" s="139" t="s">
        <v>10</v>
      </c>
    </row>
    <row r="49" spans="1:4" x14ac:dyDescent="0.25">
      <c r="A49" s="147">
        <v>48</v>
      </c>
      <c r="B49" s="147" t="s">
        <v>598</v>
      </c>
      <c r="C49" s="401"/>
      <c r="D49" s="139" t="s">
        <v>391</v>
      </c>
    </row>
    <row r="50" spans="1:4" x14ac:dyDescent="0.25">
      <c r="A50" s="147">
        <v>49</v>
      </c>
      <c r="B50" s="147" t="s">
        <v>599</v>
      </c>
      <c r="C50" s="401"/>
      <c r="D50" s="139" t="s">
        <v>10</v>
      </c>
    </row>
    <row r="51" spans="1:4" ht="30" x14ac:dyDescent="0.25">
      <c r="A51" s="147">
        <v>50</v>
      </c>
      <c r="B51" s="147" t="s">
        <v>600</v>
      </c>
      <c r="C51" s="401"/>
      <c r="D51" s="139" t="s">
        <v>490</v>
      </c>
    </row>
    <row r="52" spans="1:4" ht="30" x14ac:dyDescent="0.25">
      <c r="A52" s="147">
        <v>51</v>
      </c>
      <c r="B52" s="147" t="s">
        <v>601</v>
      </c>
      <c r="C52" s="401"/>
      <c r="D52" s="139" t="s">
        <v>390</v>
      </c>
    </row>
    <row r="53" spans="1:4" ht="15.75" thickBot="1" x14ac:dyDescent="0.3">
      <c r="A53" s="148">
        <v>52</v>
      </c>
      <c r="B53" s="148" t="s">
        <v>602</v>
      </c>
      <c r="C53" s="402"/>
      <c r="D53" s="143" t="s">
        <v>10</v>
      </c>
    </row>
    <row r="54" spans="1:4" ht="45" x14ac:dyDescent="0.25">
      <c r="A54" s="149">
        <v>53</v>
      </c>
      <c r="B54" s="149" t="s">
        <v>603</v>
      </c>
      <c r="C54" s="400" t="s">
        <v>392</v>
      </c>
      <c r="D54" s="139" t="s">
        <v>393</v>
      </c>
    </row>
    <row r="55" spans="1:4" x14ac:dyDescent="0.25">
      <c r="A55" s="149">
        <v>54</v>
      </c>
      <c r="B55" s="149" t="s">
        <v>604</v>
      </c>
      <c r="C55" s="401"/>
      <c r="D55" s="139" t="s">
        <v>394</v>
      </c>
    </row>
    <row r="56" spans="1:4" x14ac:dyDescent="0.25">
      <c r="A56" s="149">
        <v>55</v>
      </c>
      <c r="B56" s="149" t="s">
        <v>738</v>
      </c>
      <c r="C56" s="401"/>
      <c r="D56" s="139" t="s">
        <v>395</v>
      </c>
    </row>
    <row r="57" spans="1:4" ht="15.75" thickBot="1" x14ac:dyDescent="0.3">
      <c r="A57" s="149">
        <v>56</v>
      </c>
      <c r="B57" s="149" t="s">
        <v>727</v>
      </c>
      <c r="C57" s="402"/>
      <c r="D57" s="139" t="s">
        <v>396</v>
      </c>
    </row>
    <row r="58" spans="1:4" ht="30" x14ac:dyDescent="0.25">
      <c r="A58" s="194">
        <v>57</v>
      </c>
      <c r="B58" s="194" t="s">
        <v>733</v>
      </c>
      <c r="C58" s="400" t="s">
        <v>397</v>
      </c>
      <c r="D58" s="146" t="s">
        <v>543</v>
      </c>
    </row>
    <row r="59" spans="1:4" ht="30" x14ac:dyDescent="0.25">
      <c r="A59" s="236">
        <v>58</v>
      </c>
      <c r="B59" s="236" t="s">
        <v>734</v>
      </c>
      <c r="C59" s="401"/>
      <c r="D59" s="238" t="s">
        <v>542</v>
      </c>
    </row>
    <row r="60" spans="1:4" ht="105.75" thickBot="1" x14ac:dyDescent="0.3">
      <c r="A60" s="150">
        <v>59</v>
      </c>
      <c r="B60" s="150" t="s">
        <v>735</v>
      </c>
      <c r="C60" s="402"/>
      <c r="D60" s="143" t="s">
        <v>488</v>
      </c>
    </row>
    <row r="61" spans="1:4" x14ac:dyDescent="0.25">
      <c r="A61" s="151">
        <v>60</v>
      </c>
      <c r="B61" s="151" t="s">
        <v>605</v>
      </c>
      <c r="C61" s="400" t="s">
        <v>398</v>
      </c>
      <c r="D61" s="139" t="s">
        <v>399</v>
      </c>
    </row>
    <row r="62" spans="1:4" x14ac:dyDescent="0.25">
      <c r="A62" s="151">
        <v>61</v>
      </c>
      <c r="B62" s="151" t="s">
        <v>606</v>
      </c>
      <c r="C62" s="401"/>
      <c r="D62" s="139" t="s">
        <v>400</v>
      </c>
    </row>
    <row r="63" spans="1:4" x14ac:dyDescent="0.25">
      <c r="A63" s="151">
        <v>62</v>
      </c>
      <c r="B63" s="151" t="s">
        <v>607</v>
      </c>
      <c r="C63" s="401"/>
      <c r="D63" s="139" t="s">
        <v>401</v>
      </c>
    </row>
    <row r="64" spans="1:4" x14ac:dyDescent="0.25">
      <c r="A64" s="151">
        <v>63</v>
      </c>
      <c r="B64" s="151" t="s">
        <v>608</v>
      </c>
      <c r="C64" s="401"/>
      <c r="D64" s="139" t="s">
        <v>402</v>
      </c>
    </row>
    <row r="65" spans="1:4" x14ac:dyDescent="0.25">
      <c r="A65" s="151">
        <v>64</v>
      </c>
      <c r="B65" s="151" t="s">
        <v>609</v>
      </c>
      <c r="C65" s="401"/>
      <c r="D65" s="139" t="s">
        <v>403</v>
      </c>
    </row>
    <row r="66" spans="1:4" x14ac:dyDescent="0.25">
      <c r="A66" s="151">
        <v>65</v>
      </c>
      <c r="B66" s="151" t="s">
        <v>610</v>
      </c>
      <c r="C66" s="401"/>
      <c r="D66" s="139" t="s">
        <v>404</v>
      </c>
    </row>
    <row r="67" spans="1:4" x14ac:dyDescent="0.25">
      <c r="A67" s="151">
        <v>66</v>
      </c>
      <c r="B67" s="151" t="s">
        <v>611</v>
      </c>
      <c r="C67" s="401"/>
      <c r="D67" s="139" t="s">
        <v>405</v>
      </c>
    </row>
    <row r="68" spans="1:4" x14ac:dyDescent="0.25">
      <c r="A68" s="151">
        <v>67</v>
      </c>
      <c r="B68" s="151" t="s">
        <v>725</v>
      </c>
      <c r="C68" s="401"/>
      <c r="D68" s="139" t="s">
        <v>498</v>
      </c>
    </row>
    <row r="69" spans="1:4" x14ac:dyDescent="0.25">
      <c r="A69" s="201">
        <v>68</v>
      </c>
      <c r="B69" s="201" t="s">
        <v>726</v>
      </c>
      <c r="C69" s="401"/>
      <c r="D69" s="139" t="s">
        <v>499</v>
      </c>
    </row>
    <row r="70" spans="1:4" ht="15.75" thickBot="1" x14ac:dyDescent="0.3">
      <c r="A70" s="152">
        <v>69</v>
      </c>
      <c r="B70" s="152" t="s">
        <v>612</v>
      </c>
      <c r="C70" s="402"/>
      <c r="D70" s="143" t="s">
        <v>406</v>
      </c>
    </row>
    <row r="71" spans="1:4" x14ac:dyDescent="0.25">
      <c r="A71" s="154">
        <v>70</v>
      </c>
      <c r="B71" s="154" t="s">
        <v>613</v>
      </c>
      <c r="C71" s="400" t="s">
        <v>407</v>
      </c>
      <c r="D71" s="146" t="s">
        <v>408</v>
      </c>
    </row>
    <row r="72" spans="1:4" x14ac:dyDescent="0.25">
      <c r="A72" s="155">
        <v>71</v>
      </c>
      <c r="B72" s="155" t="s">
        <v>614</v>
      </c>
      <c r="C72" s="401"/>
      <c r="D72" s="139" t="s">
        <v>10</v>
      </c>
    </row>
    <row r="73" spans="1:4" x14ac:dyDescent="0.25">
      <c r="A73" s="155">
        <v>72</v>
      </c>
      <c r="B73" s="155" t="s">
        <v>615</v>
      </c>
      <c r="C73" s="401"/>
      <c r="D73" s="139" t="s">
        <v>10</v>
      </c>
    </row>
    <row r="74" spans="1:4" x14ac:dyDescent="0.25">
      <c r="A74" s="155">
        <v>73</v>
      </c>
      <c r="B74" s="155" t="s">
        <v>616</v>
      </c>
      <c r="C74" s="401"/>
      <c r="D74" s="139" t="s">
        <v>10</v>
      </c>
    </row>
    <row r="75" spans="1:4" x14ac:dyDescent="0.25">
      <c r="A75" s="155">
        <v>74</v>
      </c>
      <c r="B75" s="155" t="s">
        <v>617</v>
      </c>
      <c r="C75" s="401"/>
      <c r="D75" s="139" t="s">
        <v>10</v>
      </c>
    </row>
    <row r="76" spans="1:4" x14ac:dyDescent="0.25">
      <c r="A76" s="155">
        <v>75</v>
      </c>
      <c r="B76" s="155" t="s">
        <v>618</v>
      </c>
      <c r="C76" s="401"/>
      <c r="D76" s="139" t="s">
        <v>409</v>
      </c>
    </row>
    <row r="77" spans="1:4" x14ac:dyDescent="0.25">
      <c r="A77" s="155">
        <v>76</v>
      </c>
      <c r="B77" s="155" t="s">
        <v>619</v>
      </c>
      <c r="C77" s="401"/>
      <c r="D77" s="139" t="s">
        <v>10</v>
      </c>
    </row>
    <row r="78" spans="1:4" x14ac:dyDescent="0.25">
      <c r="A78" s="155">
        <v>77</v>
      </c>
      <c r="B78" s="155" t="s">
        <v>620</v>
      </c>
      <c r="C78" s="401"/>
      <c r="D78" s="139" t="s">
        <v>10</v>
      </c>
    </row>
    <row r="79" spans="1:4" x14ac:dyDescent="0.25">
      <c r="A79" s="155">
        <v>78</v>
      </c>
      <c r="B79" s="155" t="s">
        <v>621</v>
      </c>
      <c r="C79" s="401"/>
      <c r="D79" s="139" t="s">
        <v>10</v>
      </c>
    </row>
    <row r="80" spans="1:4" x14ac:dyDescent="0.25">
      <c r="A80" s="155">
        <v>79</v>
      </c>
      <c r="B80" s="155" t="s">
        <v>622</v>
      </c>
      <c r="C80" s="401"/>
      <c r="D80" s="139" t="s">
        <v>10</v>
      </c>
    </row>
    <row r="81" spans="1:4" x14ac:dyDescent="0.25">
      <c r="A81" s="155">
        <v>80</v>
      </c>
      <c r="B81" s="155" t="s">
        <v>623</v>
      </c>
      <c r="C81" s="401"/>
      <c r="D81" s="139" t="s">
        <v>10</v>
      </c>
    </row>
    <row r="82" spans="1:4" x14ac:dyDescent="0.25">
      <c r="A82" s="155">
        <v>81</v>
      </c>
      <c r="B82" s="155" t="s">
        <v>624</v>
      </c>
      <c r="C82" s="401"/>
      <c r="D82" s="139" t="s">
        <v>409</v>
      </c>
    </row>
    <row r="83" spans="1:4" x14ac:dyDescent="0.25">
      <c r="A83" s="155">
        <v>82</v>
      </c>
      <c r="B83" s="155" t="s">
        <v>625</v>
      </c>
      <c r="C83" s="401"/>
      <c r="D83" s="139" t="s">
        <v>10</v>
      </c>
    </row>
    <row r="84" spans="1:4" x14ac:dyDescent="0.25">
      <c r="A84" s="155">
        <v>83</v>
      </c>
      <c r="B84" s="155" t="s">
        <v>626</v>
      </c>
      <c r="C84" s="401"/>
      <c r="D84" s="139" t="s">
        <v>10</v>
      </c>
    </row>
    <row r="85" spans="1:4" x14ac:dyDescent="0.25">
      <c r="A85" s="156">
        <v>84</v>
      </c>
      <c r="B85" s="156" t="s">
        <v>627</v>
      </c>
      <c r="C85" s="401"/>
      <c r="D85" s="139" t="s">
        <v>10</v>
      </c>
    </row>
    <row r="86" spans="1:4" x14ac:dyDescent="0.25">
      <c r="A86" s="156">
        <v>85</v>
      </c>
      <c r="B86" s="156" t="s">
        <v>628</v>
      </c>
      <c r="C86" s="401"/>
      <c r="D86" s="139" t="s">
        <v>10</v>
      </c>
    </row>
    <row r="87" spans="1:4" x14ac:dyDescent="0.25">
      <c r="A87" s="156">
        <v>86</v>
      </c>
      <c r="B87" s="156" t="s">
        <v>629</v>
      </c>
      <c r="C87" s="401"/>
      <c r="D87" s="139" t="s">
        <v>10</v>
      </c>
    </row>
    <row r="88" spans="1:4" x14ac:dyDescent="0.25">
      <c r="A88" s="156">
        <v>87</v>
      </c>
      <c r="B88" s="156" t="s">
        <v>630</v>
      </c>
      <c r="C88" s="401"/>
      <c r="D88" s="139" t="s">
        <v>409</v>
      </c>
    </row>
    <row r="89" spans="1:4" x14ac:dyDescent="0.25">
      <c r="A89" s="156">
        <v>88</v>
      </c>
      <c r="B89" s="156" t="s">
        <v>631</v>
      </c>
      <c r="C89" s="401"/>
      <c r="D89" s="139" t="s">
        <v>410</v>
      </c>
    </row>
    <row r="90" spans="1:4" x14ac:dyDescent="0.25">
      <c r="A90" s="157">
        <v>89</v>
      </c>
      <c r="B90" s="157" t="s">
        <v>632</v>
      </c>
      <c r="C90" s="401"/>
      <c r="D90" s="139" t="s">
        <v>411</v>
      </c>
    </row>
    <row r="91" spans="1:4" x14ac:dyDescent="0.25">
      <c r="A91" s="157">
        <v>90</v>
      </c>
      <c r="B91" s="157" t="s">
        <v>633</v>
      </c>
      <c r="C91" s="401"/>
      <c r="D91" s="139" t="s">
        <v>412</v>
      </c>
    </row>
    <row r="92" spans="1:4" x14ac:dyDescent="0.25">
      <c r="A92" s="157">
        <v>91</v>
      </c>
      <c r="B92" s="157" t="s">
        <v>634</v>
      </c>
      <c r="C92" s="401"/>
      <c r="D92" s="139" t="s">
        <v>413</v>
      </c>
    </row>
    <row r="93" spans="1:4" x14ac:dyDescent="0.25">
      <c r="A93" s="157">
        <v>92</v>
      </c>
      <c r="B93" s="157" t="s">
        <v>635</v>
      </c>
      <c r="C93" s="401"/>
      <c r="D93" s="139" t="s">
        <v>414</v>
      </c>
    </row>
    <row r="94" spans="1:4" ht="15.75" thickBot="1" x14ac:dyDescent="0.3">
      <c r="A94" s="159">
        <v>93</v>
      </c>
      <c r="B94" s="159" t="s">
        <v>636</v>
      </c>
      <c r="C94" s="402"/>
      <c r="D94" s="143" t="s">
        <v>415</v>
      </c>
    </row>
    <row r="95" spans="1:4" x14ac:dyDescent="0.25">
      <c r="A95" s="160">
        <v>94</v>
      </c>
      <c r="B95" s="160" t="s">
        <v>639</v>
      </c>
      <c r="C95" s="400" t="s">
        <v>416</v>
      </c>
      <c r="D95" s="139" t="s">
        <v>417</v>
      </c>
    </row>
    <row r="96" spans="1:4" ht="15" customHeight="1" x14ac:dyDescent="0.25">
      <c r="A96" s="160">
        <v>95</v>
      </c>
      <c r="B96" s="160" t="s">
        <v>640</v>
      </c>
      <c r="C96" s="401"/>
      <c r="D96" s="237" t="s">
        <v>418</v>
      </c>
    </row>
    <row r="97" spans="1:4" ht="45" x14ac:dyDescent="0.25">
      <c r="A97" s="160">
        <v>96</v>
      </c>
      <c r="B97" s="160" t="s">
        <v>641</v>
      </c>
      <c r="C97" s="401"/>
      <c r="D97" s="161" t="s">
        <v>419</v>
      </c>
    </row>
    <row r="98" spans="1:4" ht="30.75" thickBot="1" x14ac:dyDescent="0.3">
      <c r="A98" s="162">
        <v>97</v>
      </c>
      <c r="B98" s="162" t="s">
        <v>642</v>
      </c>
      <c r="C98" s="402"/>
      <c r="D98" s="143" t="s">
        <v>420</v>
      </c>
    </row>
    <row r="99" spans="1:4" ht="30" x14ac:dyDescent="0.25">
      <c r="A99" s="145">
        <v>98</v>
      </c>
      <c r="B99" s="145" t="s">
        <v>643</v>
      </c>
      <c r="C99" s="400" t="s">
        <v>421</v>
      </c>
      <c r="D99" s="146" t="s">
        <v>422</v>
      </c>
    </row>
    <row r="100" spans="1:4" ht="30" x14ac:dyDescent="0.25">
      <c r="A100" s="147">
        <v>99</v>
      </c>
      <c r="B100" s="147" t="s">
        <v>644</v>
      </c>
      <c r="C100" s="401"/>
      <c r="D100" s="139" t="s">
        <v>423</v>
      </c>
    </row>
    <row r="101" spans="1:4" x14ac:dyDescent="0.25">
      <c r="A101" s="147">
        <v>100</v>
      </c>
      <c r="B101" s="147" t="s">
        <v>645</v>
      </c>
      <c r="C101" s="401"/>
      <c r="D101" s="139" t="s">
        <v>424</v>
      </c>
    </row>
    <row r="102" spans="1:4" x14ac:dyDescent="0.25">
      <c r="A102" s="147">
        <v>101</v>
      </c>
      <c r="B102" s="147" t="s">
        <v>646</v>
      </c>
      <c r="C102" s="401"/>
      <c r="D102" s="139" t="s">
        <v>425</v>
      </c>
    </row>
    <row r="103" spans="1:4" x14ac:dyDescent="0.25">
      <c r="A103" s="147">
        <v>102</v>
      </c>
      <c r="B103" s="147" t="s">
        <v>647</v>
      </c>
      <c r="C103" s="401"/>
      <c r="D103" s="139" t="s">
        <v>426</v>
      </c>
    </row>
    <row r="104" spans="1:4" ht="30" x14ac:dyDescent="0.25">
      <c r="A104" s="147">
        <v>103</v>
      </c>
      <c r="B104" s="147" t="s">
        <v>648</v>
      </c>
      <c r="C104" s="401"/>
      <c r="D104" s="139" t="s">
        <v>482</v>
      </c>
    </row>
    <row r="105" spans="1:4" x14ac:dyDescent="0.25">
      <c r="A105" s="147">
        <v>104</v>
      </c>
      <c r="B105" s="147" t="s">
        <v>649</v>
      </c>
      <c r="C105" s="401"/>
      <c r="D105" s="139" t="s">
        <v>500</v>
      </c>
    </row>
    <row r="106" spans="1:4" x14ac:dyDescent="0.25">
      <c r="A106" s="147">
        <v>105</v>
      </c>
      <c r="B106" s="147" t="s">
        <v>650</v>
      </c>
      <c r="C106" s="401"/>
      <c r="D106" s="139" t="s">
        <v>501</v>
      </c>
    </row>
    <row r="107" spans="1:4" x14ac:dyDescent="0.25">
      <c r="A107" s="147">
        <v>106</v>
      </c>
      <c r="B107" s="147" t="s">
        <v>651</v>
      </c>
      <c r="C107" s="401"/>
      <c r="D107" s="139" t="s">
        <v>502</v>
      </c>
    </row>
    <row r="108" spans="1:4" ht="30.75" thickBot="1" x14ac:dyDescent="0.3">
      <c r="A108" s="147">
        <v>107</v>
      </c>
      <c r="B108" s="147" t="s">
        <v>652</v>
      </c>
      <c r="C108" s="402"/>
      <c r="D108" s="139" t="s">
        <v>503</v>
      </c>
    </row>
    <row r="109" spans="1:4" ht="30" x14ac:dyDescent="0.25">
      <c r="A109" s="164">
        <v>108</v>
      </c>
      <c r="B109" s="164" t="s">
        <v>653</v>
      </c>
      <c r="C109" s="400" t="s">
        <v>427</v>
      </c>
      <c r="D109" s="146" t="s">
        <v>540</v>
      </c>
    </row>
    <row r="110" spans="1:4" ht="30" x14ac:dyDescent="0.25">
      <c r="A110" s="165">
        <v>109</v>
      </c>
      <c r="B110" s="165" t="s">
        <v>724</v>
      </c>
      <c r="C110" s="401"/>
      <c r="D110" s="139" t="s">
        <v>541</v>
      </c>
    </row>
    <row r="111" spans="1:4" x14ac:dyDescent="0.25">
      <c r="A111" s="165">
        <v>110</v>
      </c>
      <c r="B111" s="165" t="s">
        <v>654</v>
      </c>
      <c r="C111" s="401"/>
      <c r="D111" s="139" t="s">
        <v>428</v>
      </c>
    </row>
    <row r="112" spans="1:4" x14ac:dyDescent="0.25">
      <c r="A112" s="165">
        <v>111</v>
      </c>
      <c r="B112" s="165" t="s">
        <v>655</v>
      </c>
      <c r="C112" s="401"/>
      <c r="D112" s="139" t="s">
        <v>429</v>
      </c>
    </row>
    <row r="113" spans="1:4" x14ac:dyDescent="0.25">
      <c r="A113" s="165">
        <v>112</v>
      </c>
      <c r="B113" s="165" t="s">
        <v>656</v>
      </c>
      <c r="C113" s="401"/>
      <c r="D113" s="139" t="s">
        <v>429</v>
      </c>
    </row>
    <row r="114" spans="1:4" x14ac:dyDescent="0.25">
      <c r="A114" s="165">
        <v>113</v>
      </c>
      <c r="B114" s="165" t="s">
        <v>657</v>
      </c>
      <c r="C114" s="401"/>
      <c r="D114" s="139" t="s">
        <v>430</v>
      </c>
    </row>
    <row r="115" spans="1:4" ht="15.75" thickBot="1" x14ac:dyDescent="0.3">
      <c r="A115" s="167">
        <v>114</v>
      </c>
      <c r="B115" s="167" t="s">
        <v>658</v>
      </c>
      <c r="C115" s="402"/>
      <c r="D115" s="143" t="s">
        <v>430</v>
      </c>
    </row>
    <row r="116" spans="1:4" ht="30" x14ac:dyDescent="0.25">
      <c r="A116" s="168">
        <v>115</v>
      </c>
      <c r="B116" s="168" t="s">
        <v>659</v>
      </c>
      <c r="C116" s="400" t="s">
        <v>431</v>
      </c>
      <c r="D116" s="146" t="s">
        <v>432</v>
      </c>
    </row>
    <row r="117" spans="1:4" x14ac:dyDescent="0.25">
      <c r="A117" s="169">
        <v>116</v>
      </c>
      <c r="B117" s="169" t="s">
        <v>660</v>
      </c>
      <c r="C117" s="401"/>
      <c r="D117" s="139" t="s">
        <v>10</v>
      </c>
    </row>
    <row r="118" spans="1:4" x14ac:dyDescent="0.25">
      <c r="A118" s="169">
        <v>117</v>
      </c>
      <c r="B118" s="169" t="s">
        <v>661</v>
      </c>
      <c r="C118" s="401"/>
      <c r="D118" s="139" t="s">
        <v>10</v>
      </c>
    </row>
    <row r="119" spans="1:4" x14ac:dyDescent="0.25">
      <c r="A119" s="169">
        <v>118</v>
      </c>
      <c r="B119" s="169" t="s">
        <v>662</v>
      </c>
      <c r="C119" s="401"/>
      <c r="D119" s="139" t="s">
        <v>10</v>
      </c>
    </row>
    <row r="120" spans="1:4" x14ac:dyDescent="0.25">
      <c r="A120" s="169">
        <v>119</v>
      </c>
      <c r="B120" s="169" t="s">
        <v>663</v>
      </c>
      <c r="C120" s="401"/>
      <c r="D120" s="139" t="s">
        <v>10</v>
      </c>
    </row>
    <row r="121" spans="1:4" x14ac:dyDescent="0.25">
      <c r="A121" s="169">
        <v>120</v>
      </c>
      <c r="B121" s="169" t="s">
        <v>664</v>
      </c>
      <c r="C121" s="401"/>
      <c r="D121" s="139" t="s">
        <v>409</v>
      </c>
    </row>
    <row r="122" spans="1:4" x14ac:dyDescent="0.25">
      <c r="A122" s="169">
        <v>121</v>
      </c>
      <c r="B122" s="169" t="s">
        <v>665</v>
      </c>
      <c r="C122" s="401"/>
      <c r="D122" s="139" t="s">
        <v>10</v>
      </c>
    </row>
    <row r="123" spans="1:4" x14ac:dyDescent="0.25">
      <c r="A123" s="169">
        <v>122</v>
      </c>
      <c r="B123" s="169" t="s">
        <v>666</v>
      </c>
      <c r="C123" s="401"/>
      <c r="D123" s="139" t="s">
        <v>10</v>
      </c>
    </row>
    <row r="124" spans="1:4" x14ac:dyDescent="0.25">
      <c r="A124" s="169">
        <v>123</v>
      </c>
      <c r="B124" s="169" t="s">
        <v>667</v>
      </c>
      <c r="C124" s="401"/>
      <c r="D124" s="139" t="s">
        <v>10</v>
      </c>
    </row>
    <row r="125" spans="1:4" x14ac:dyDescent="0.25">
      <c r="A125" s="169">
        <v>124</v>
      </c>
      <c r="B125" s="169" t="s">
        <v>668</v>
      </c>
      <c r="C125" s="401"/>
      <c r="D125" s="139" t="s">
        <v>10</v>
      </c>
    </row>
    <row r="126" spans="1:4" x14ac:dyDescent="0.25">
      <c r="A126" s="169">
        <v>125</v>
      </c>
      <c r="B126" s="169" t="s">
        <v>669</v>
      </c>
      <c r="C126" s="401"/>
      <c r="D126" s="139" t="s">
        <v>10</v>
      </c>
    </row>
    <row r="127" spans="1:4" x14ac:dyDescent="0.25">
      <c r="A127" s="169">
        <v>126</v>
      </c>
      <c r="B127" s="169" t="s">
        <v>670</v>
      </c>
      <c r="C127" s="401"/>
      <c r="D127" s="139" t="s">
        <v>10</v>
      </c>
    </row>
    <row r="128" spans="1:4" x14ac:dyDescent="0.25">
      <c r="A128" s="169">
        <v>127</v>
      </c>
      <c r="B128" s="169" t="s">
        <v>671</v>
      </c>
      <c r="C128" s="401"/>
      <c r="D128" s="139" t="s">
        <v>10</v>
      </c>
    </row>
    <row r="129" spans="1:4" x14ac:dyDescent="0.25">
      <c r="A129" s="169">
        <v>128</v>
      </c>
      <c r="B129" s="169" t="s">
        <v>672</v>
      </c>
      <c r="C129" s="401"/>
      <c r="D129" s="139" t="s">
        <v>10</v>
      </c>
    </row>
    <row r="130" spans="1:4" x14ac:dyDescent="0.25">
      <c r="A130" s="169">
        <v>129</v>
      </c>
      <c r="B130" s="169" t="s">
        <v>673</v>
      </c>
      <c r="C130" s="401"/>
      <c r="D130" s="139" t="s">
        <v>433</v>
      </c>
    </row>
    <row r="131" spans="1:4" x14ac:dyDescent="0.25">
      <c r="A131" s="169">
        <v>130</v>
      </c>
      <c r="B131" s="169" t="s">
        <v>674</v>
      </c>
      <c r="C131" s="401"/>
      <c r="D131" s="139" t="s">
        <v>434</v>
      </c>
    </row>
    <row r="132" spans="1:4" x14ac:dyDescent="0.25">
      <c r="A132" s="169">
        <v>131</v>
      </c>
      <c r="B132" s="169" t="s">
        <v>675</v>
      </c>
      <c r="C132" s="401"/>
      <c r="D132" s="139" t="s">
        <v>435</v>
      </c>
    </row>
    <row r="133" spans="1:4" x14ac:dyDescent="0.25">
      <c r="A133" s="169">
        <v>132</v>
      </c>
      <c r="B133" s="169" t="s">
        <v>676</v>
      </c>
      <c r="C133" s="401"/>
      <c r="D133" s="139" t="s">
        <v>436</v>
      </c>
    </row>
    <row r="134" spans="1:4" x14ac:dyDescent="0.25">
      <c r="A134" s="169">
        <v>133</v>
      </c>
      <c r="B134" s="169" t="s">
        <v>677</v>
      </c>
      <c r="C134" s="401"/>
      <c r="D134" s="139" t="s">
        <v>437</v>
      </c>
    </row>
    <row r="135" spans="1:4" x14ac:dyDescent="0.25">
      <c r="A135" s="169">
        <v>134</v>
      </c>
      <c r="B135" s="169" t="s">
        <v>678</v>
      </c>
      <c r="C135" s="401"/>
      <c r="D135" s="139" t="s">
        <v>438</v>
      </c>
    </row>
    <row r="136" spans="1:4" ht="30" x14ac:dyDescent="0.25">
      <c r="A136" s="169">
        <v>135</v>
      </c>
      <c r="B136" s="169" t="s">
        <v>679</v>
      </c>
      <c r="C136" s="401"/>
      <c r="D136" s="139" t="s">
        <v>439</v>
      </c>
    </row>
    <row r="137" spans="1:4" x14ac:dyDescent="0.25">
      <c r="A137" s="169">
        <v>136</v>
      </c>
      <c r="B137" s="169" t="s">
        <v>680</v>
      </c>
      <c r="C137" s="401"/>
      <c r="D137" s="139" t="s">
        <v>440</v>
      </c>
    </row>
    <row r="138" spans="1:4" x14ac:dyDescent="0.25">
      <c r="A138" s="169">
        <v>137</v>
      </c>
      <c r="B138" s="169" t="s">
        <v>681</v>
      </c>
      <c r="C138" s="401"/>
      <c r="D138" s="139" t="s">
        <v>440</v>
      </c>
    </row>
    <row r="139" spans="1:4" ht="90" x14ac:dyDescent="0.25">
      <c r="A139" s="169">
        <v>138</v>
      </c>
      <c r="B139" s="169" t="s">
        <v>736</v>
      </c>
      <c r="C139" s="401"/>
      <c r="D139" s="139" t="s">
        <v>486</v>
      </c>
    </row>
    <row r="140" spans="1:4" x14ac:dyDescent="0.25">
      <c r="A140" s="169">
        <v>139</v>
      </c>
      <c r="B140" s="169" t="s">
        <v>737</v>
      </c>
      <c r="C140" s="401"/>
      <c r="D140" s="139" t="s">
        <v>441</v>
      </c>
    </row>
    <row r="141" spans="1:4" ht="105" x14ac:dyDescent="0.25">
      <c r="A141" s="169">
        <v>140</v>
      </c>
      <c r="B141" s="169" t="s">
        <v>682</v>
      </c>
      <c r="C141" s="401"/>
      <c r="D141" s="139" t="s">
        <v>487</v>
      </c>
    </row>
    <row r="142" spans="1:4" ht="30" x14ac:dyDescent="0.25">
      <c r="A142" s="169">
        <v>141</v>
      </c>
      <c r="B142" s="169" t="s">
        <v>683</v>
      </c>
      <c r="C142" s="401"/>
      <c r="D142" s="139" t="s">
        <v>484</v>
      </c>
    </row>
    <row r="143" spans="1:4" ht="30" x14ac:dyDescent="0.25">
      <c r="A143" s="169">
        <v>142</v>
      </c>
      <c r="B143" s="169" t="s">
        <v>722</v>
      </c>
      <c r="C143" s="401"/>
      <c r="D143" s="139" t="s">
        <v>442</v>
      </c>
    </row>
    <row r="144" spans="1:4" ht="30" x14ac:dyDescent="0.25">
      <c r="A144" s="169">
        <v>143</v>
      </c>
      <c r="B144" s="169" t="s">
        <v>723</v>
      </c>
      <c r="C144" s="401"/>
      <c r="D144" s="139" t="s">
        <v>443</v>
      </c>
    </row>
    <row r="145" spans="1:4" x14ac:dyDescent="0.25">
      <c r="A145" s="169">
        <v>144</v>
      </c>
      <c r="B145" s="169" t="s">
        <v>684</v>
      </c>
      <c r="C145" s="401"/>
      <c r="D145" s="139" t="s">
        <v>444</v>
      </c>
    </row>
    <row r="146" spans="1:4" x14ac:dyDescent="0.25">
      <c r="A146" s="169">
        <v>145</v>
      </c>
      <c r="B146" s="169" t="s">
        <v>685</v>
      </c>
      <c r="C146" s="401"/>
      <c r="D146" s="139" t="s">
        <v>445</v>
      </c>
    </row>
    <row r="147" spans="1:4" x14ac:dyDescent="0.25">
      <c r="A147" s="169">
        <v>146</v>
      </c>
      <c r="B147" s="169" t="s">
        <v>686</v>
      </c>
      <c r="C147" s="401"/>
      <c r="D147" s="139" t="s">
        <v>446</v>
      </c>
    </row>
    <row r="148" spans="1:4" x14ac:dyDescent="0.25">
      <c r="A148" s="169">
        <v>147</v>
      </c>
      <c r="B148" s="169" t="s">
        <v>687</v>
      </c>
      <c r="C148" s="401"/>
      <c r="D148" s="139" t="s">
        <v>447</v>
      </c>
    </row>
    <row r="149" spans="1:4" x14ac:dyDescent="0.25">
      <c r="A149" s="169">
        <v>148</v>
      </c>
      <c r="B149" s="169" t="s">
        <v>688</v>
      </c>
      <c r="C149" s="401"/>
      <c r="D149" s="139" t="s">
        <v>448</v>
      </c>
    </row>
    <row r="150" spans="1:4" x14ac:dyDescent="0.25">
      <c r="A150" s="169">
        <v>149</v>
      </c>
      <c r="B150" s="169" t="s">
        <v>689</v>
      </c>
      <c r="C150" s="401"/>
      <c r="D150" s="139" t="s">
        <v>449</v>
      </c>
    </row>
    <row r="151" spans="1:4" x14ac:dyDescent="0.25">
      <c r="A151" s="169">
        <v>150</v>
      </c>
      <c r="B151" s="169" t="s">
        <v>690</v>
      </c>
      <c r="C151" s="401"/>
      <c r="D151" s="139" t="s">
        <v>504</v>
      </c>
    </row>
    <row r="152" spans="1:4" x14ac:dyDescent="0.25">
      <c r="A152" s="169">
        <v>151</v>
      </c>
      <c r="B152" s="169" t="s">
        <v>691</v>
      </c>
      <c r="C152" s="401"/>
      <c r="D152" s="139" t="s">
        <v>10</v>
      </c>
    </row>
    <row r="153" spans="1:4" x14ac:dyDescent="0.25">
      <c r="A153" s="169">
        <v>152</v>
      </c>
      <c r="B153" s="169" t="s">
        <v>692</v>
      </c>
      <c r="C153" s="401"/>
      <c r="D153" s="139" t="s">
        <v>10</v>
      </c>
    </row>
    <row r="154" spans="1:4" x14ac:dyDescent="0.25">
      <c r="A154" s="169">
        <v>153</v>
      </c>
      <c r="B154" s="169" t="s">
        <v>693</v>
      </c>
      <c r="C154" s="401"/>
      <c r="D154" s="139" t="s">
        <v>10</v>
      </c>
    </row>
    <row r="155" spans="1:4" x14ac:dyDescent="0.25">
      <c r="A155" s="169">
        <v>154</v>
      </c>
      <c r="B155" s="169" t="s">
        <v>694</v>
      </c>
      <c r="C155" s="401"/>
      <c r="D155" s="139" t="s">
        <v>10</v>
      </c>
    </row>
    <row r="156" spans="1:4" x14ac:dyDescent="0.25">
      <c r="A156" s="169">
        <v>155</v>
      </c>
      <c r="B156" s="169" t="s">
        <v>695</v>
      </c>
      <c r="C156" s="401"/>
      <c r="D156" s="139" t="s">
        <v>10</v>
      </c>
    </row>
    <row r="157" spans="1:4" x14ac:dyDescent="0.25">
      <c r="A157" s="169">
        <v>156</v>
      </c>
      <c r="B157" s="169" t="s">
        <v>696</v>
      </c>
      <c r="C157" s="401"/>
      <c r="D157" s="139" t="s">
        <v>10</v>
      </c>
    </row>
    <row r="158" spans="1:4" x14ac:dyDescent="0.25">
      <c r="A158" s="169">
        <v>157</v>
      </c>
      <c r="B158" s="169" t="s">
        <v>697</v>
      </c>
      <c r="C158" s="401"/>
      <c r="D158" s="139" t="s">
        <v>10</v>
      </c>
    </row>
    <row r="159" spans="1:4" ht="30" x14ac:dyDescent="0.25">
      <c r="A159" s="169">
        <v>158</v>
      </c>
      <c r="B159" s="169" t="s">
        <v>698</v>
      </c>
      <c r="C159" s="401"/>
      <c r="D159" s="139" t="s">
        <v>505</v>
      </c>
    </row>
    <row r="160" spans="1:4" ht="30" x14ac:dyDescent="0.25">
      <c r="A160" s="169">
        <v>159</v>
      </c>
      <c r="B160" s="169" t="s">
        <v>699</v>
      </c>
      <c r="C160" s="401"/>
      <c r="D160" s="139" t="s">
        <v>506</v>
      </c>
    </row>
    <row r="161" spans="1:4" ht="30" x14ac:dyDescent="0.25">
      <c r="A161" s="169">
        <v>160</v>
      </c>
      <c r="B161" s="169" t="s">
        <v>700</v>
      </c>
      <c r="C161" s="401"/>
      <c r="D161" s="139" t="s">
        <v>507</v>
      </c>
    </row>
    <row r="162" spans="1:4" ht="15.75" thickBot="1" x14ac:dyDescent="0.3">
      <c r="A162" s="170">
        <v>161</v>
      </c>
      <c r="B162" s="170" t="s">
        <v>701</v>
      </c>
      <c r="C162" s="402"/>
      <c r="D162" s="204" t="s">
        <v>10</v>
      </c>
    </row>
    <row r="163" spans="1:4" ht="30" customHeight="1" x14ac:dyDescent="0.25">
      <c r="A163" s="171">
        <v>162</v>
      </c>
      <c r="B163" s="171" t="s">
        <v>702</v>
      </c>
      <c r="C163" s="400" t="s">
        <v>450</v>
      </c>
      <c r="D163" s="139" t="s">
        <v>451</v>
      </c>
    </row>
    <row r="164" spans="1:4" ht="30" x14ac:dyDescent="0.25">
      <c r="A164" s="171">
        <v>163</v>
      </c>
      <c r="B164" s="171" t="s">
        <v>703</v>
      </c>
      <c r="C164" s="401"/>
      <c r="D164" s="139" t="s">
        <v>452</v>
      </c>
    </row>
    <row r="165" spans="1:4" x14ac:dyDescent="0.25">
      <c r="A165" s="171">
        <v>164</v>
      </c>
      <c r="B165" s="171" t="s">
        <v>704</v>
      </c>
      <c r="C165" s="401"/>
      <c r="D165" s="139" t="s">
        <v>10</v>
      </c>
    </row>
    <row r="166" spans="1:4" x14ac:dyDescent="0.25">
      <c r="A166" s="171">
        <v>165</v>
      </c>
      <c r="B166" s="171" t="s">
        <v>705</v>
      </c>
      <c r="C166" s="401"/>
      <c r="D166" s="139" t="s">
        <v>10</v>
      </c>
    </row>
    <row r="167" spans="1:4" ht="30" x14ac:dyDescent="0.25">
      <c r="A167" s="171">
        <v>166</v>
      </c>
      <c r="B167" s="171" t="s">
        <v>706</v>
      </c>
      <c r="C167" s="401"/>
      <c r="D167" s="139" t="s">
        <v>453</v>
      </c>
    </row>
    <row r="168" spans="1:4" ht="30" x14ac:dyDescent="0.25">
      <c r="A168" s="171">
        <v>167</v>
      </c>
      <c r="B168" s="171" t="s">
        <v>707</v>
      </c>
      <c r="C168" s="401"/>
      <c r="D168" s="139" t="s">
        <v>454</v>
      </c>
    </row>
    <row r="169" spans="1:4" x14ac:dyDescent="0.25">
      <c r="A169" s="171">
        <v>168</v>
      </c>
      <c r="B169" s="171" t="s">
        <v>708</v>
      </c>
      <c r="C169" s="401"/>
      <c r="D169" s="139" t="s">
        <v>455</v>
      </c>
    </row>
    <row r="170" spans="1:4" x14ac:dyDescent="0.25">
      <c r="A170" s="171">
        <v>169</v>
      </c>
      <c r="B170" s="171" t="s">
        <v>709</v>
      </c>
      <c r="C170" s="401"/>
      <c r="D170" s="139" t="s">
        <v>10</v>
      </c>
    </row>
    <row r="171" spans="1:4" x14ac:dyDescent="0.25">
      <c r="A171" s="171">
        <v>170</v>
      </c>
      <c r="B171" s="171" t="s">
        <v>710</v>
      </c>
      <c r="C171" s="401"/>
      <c r="D171" s="139" t="s">
        <v>10</v>
      </c>
    </row>
    <row r="172" spans="1:4" x14ac:dyDescent="0.25">
      <c r="A172" s="171">
        <v>171</v>
      </c>
      <c r="B172" s="171" t="s">
        <v>711</v>
      </c>
      <c r="C172" s="401"/>
      <c r="D172" s="139" t="s">
        <v>10</v>
      </c>
    </row>
    <row r="173" spans="1:4" x14ac:dyDescent="0.25">
      <c r="A173" s="171">
        <v>172</v>
      </c>
      <c r="B173" s="171" t="s">
        <v>712</v>
      </c>
      <c r="C173" s="401"/>
      <c r="D173" s="139" t="s">
        <v>456</v>
      </c>
    </row>
    <row r="174" spans="1:4" x14ac:dyDescent="0.25">
      <c r="A174" s="171">
        <v>173</v>
      </c>
      <c r="B174" s="171" t="s">
        <v>713</v>
      </c>
      <c r="C174" s="401"/>
      <c r="D174" s="139" t="s">
        <v>457</v>
      </c>
    </row>
    <row r="175" spans="1:4" x14ac:dyDescent="0.25">
      <c r="A175" s="171">
        <v>174</v>
      </c>
      <c r="B175" s="171" t="s">
        <v>714</v>
      </c>
      <c r="C175" s="401"/>
      <c r="D175" s="139" t="s">
        <v>458</v>
      </c>
    </row>
    <row r="176" spans="1:4" ht="15.75" thickBot="1" x14ac:dyDescent="0.3">
      <c r="A176" s="172">
        <v>175</v>
      </c>
      <c r="B176" s="172" t="s">
        <v>728</v>
      </c>
      <c r="C176" s="402"/>
      <c r="D176" s="143" t="s">
        <v>459</v>
      </c>
    </row>
    <row r="177" spans="1:4" ht="15.75" thickBot="1" x14ac:dyDescent="0.3">
      <c r="A177" s="173">
        <v>176</v>
      </c>
      <c r="B177" s="173" t="s">
        <v>715</v>
      </c>
      <c r="C177" s="174" t="s">
        <v>460</v>
      </c>
      <c r="D177" s="190" t="s">
        <v>461</v>
      </c>
    </row>
  </sheetData>
  <sheetProtection sheet="1" objects="1" scenarios="1"/>
  <mergeCells count="14">
    <mergeCell ref="C163:C176"/>
    <mergeCell ref="C61:C70"/>
    <mergeCell ref="C71:C94"/>
    <mergeCell ref="C95:C98"/>
    <mergeCell ref="C99:C108"/>
    <mergeCell ref="C109:C115"/>
    <mergeCell ref="C116:C162"/>
    <mergeCell ref="C58:C60"/>
    <mergeCell ref="C54:C57"/>
    <mergeCell ref="C2:C11"/>
    <mergeCell ref="C12:C17"/>
    <mergeCell ref="C18:C28"/>
    <mergeCell ref="C44:C53"/>
    <mergeCell ref="C29:C43"/>
  </mergeCells>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87"/>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2" customWidth="1"/>
    <col min="4" max="4" width="127.7109375" customWidth="1"/>
  </cols>
  <sheetData>
    <row r="1" spans="1:4" ht="15.75" thickBot="1" x14ac:dyDescent="0.3">
      <c r="A1" s="330" t="s">
        <v>89</v>
      </c>
      <c r="B1" s="315" t="s">
        <v>92</v>
      </c>
      <c r="C1" s="331" t="s">
        <v>480</v>
      </c>
      <c r="D1" s="332" t="s">
        <v>0</v>
      </c>
    </row>
    <row r="2" spans="1:4" x14ac:dyDescent="0.25">
      <c r="A2" s="279">
        <v>1001</v>
      </c>
      <c r="B2" s="279" t="s">
        <v>356</v>
      </c>
      <c r="C2" s="401" t="s">
        <v>794</v>
      </c>
      <c r="D2" s="272" t="s">
        <v>362</v>
      </c>
    </row>
    <row r="3" spans="1:4" x14ac:dyDescent="0.25">
      <c r="A3" s="279">
        <v>1002</v>
      </c>
      <c r="B3" s="279" t="s">
        <v>357</v>
      </c>
      <c r="C3" s="401"/>
      <c r="D3" s="273" t="s">
        <v>795</v>
      </c>
    </row>
    <row r="4" spans="1:4" x14ac:dyDescent="0.25">
      <c r="A4" s="279">
        <v>1003</v>
      </c>
      <c r="B4" s="279" t="s">
        <v>358</v>
      </c>
      <c r="C4" s="401"/>
      <c r="D4" s="274" t="s">
        <v>10</v>
      </c>
    </row>
    <row r="5" spans="1:4" x14ac:dyDescent="0.25">
      <c r="A5" s="279">
        <v>1004</v>
      </c>
      <c r="B5" s="279" t="s">
        <v>359</v>
      </c>
      <c r="C5" s="401"/>
      <c r="D5" s="274" t="s">
        <v>10</v>
      </c>
    </row>
    <row r="6" spans="1:4" ht="15.75" thickBot="1" x14ac:dyDescent="0.3">
      <c r="A6" s="280">
        <v>1005</v>
      </c>
      <c r="B6" s="280" t="s">
        <v>360</v>
      </c>
      <c r="C6" s="402"/>
      <c r="D6" s="275" t="s">
        <v>10</v>
      </c>
    </row>
    <row r="7" spans="1:4" x14ac:dyDescent="0.25">
      <c r="A7" s="222">
        <v>1006</v>
      </c>
      <c r="B7" s="221" t="s">
        <v>238</v>
      </c>
      <c r="C7" s="400" t="s">
        <v>796</v>
      </c>
      <c r="D7" s="276" t="s">
        <v>797</v>
      </c>
    </row>
    <row r="8" spans="1:4" x14ac:dyDescent="0.25">
      <c r="A8" s="218">
        <v>1007</v>
      </c>
      <c r="B8" s="217" t="s">
        <v>239</v>
      </c>
      <c r="C8" s="401"/>
      <c r="D8" s="274" t="s">
        <v>10</v>
      </c>
    </row>
    <row r="9" spans="1:4" x14ac:dyDescent="0.25">
      <c r="A9" s="218">
        <v>1008</v>
      </c>
      <c r="B9" s="217" t="s">
        <v>240</v>
      </c>
      <c r="C9" s="401"/>
      <c r="D9" s="274" t="s">
        <v>10</v>
      </c>
    </row>
    <row r="10" spans="1:4" x14ac:dyDescent="0.25">
      <c r="A10" s="218">
        <v>1009</v>
      </c>
      <c r="B10" s="217" t="s">
        <v>241</v>
      </c>
      <c r="C10" s="401"/>
      <c r="D10" s="274" t="s">
        <v>10</v>
      </c>
    </row>
    <row r="11" spans="1:4" x14ac:dyDescent="0.25">
      <c r="A11" s="218">
        <v>1010</v>
      </c>
      <c r="B11" s="217" t="s">
        <v>242</v>
      </c>
      <c r="C11" s="401"/>
      <c r="D11" s="274" t="s">
        <v>10</v>
      </c>
    </row>
    <row r="12" spans="1:4" x14ac:dyDescent="0.25">
      <c r="A12" s="218">
        <v>1011</v>
      </c>
      <c r="B12" s="217" t="s">
        <v>243</v>
      </c>
      <c r="C12" s="401"/>
      <c r="D12" s="274" t="s">
        <v>10</v>
      </c>
    </row>
    <row r="13" spans="1:4" x14ac:dyDescent="0.25">
      <c r="A13" s="218">
        <v>1012</v>
      </c>
      <c r="B13" s="217" t="s">
        <v>244</v>
      </c>
      <c r="C13" s="401"/>
      <c r="D13" s="274" t="s">
        <v>10</v>
      </c>
    </row>
    <row r="14" spans="1:4" x14ac:dyDescent="0.25">
      <c r="A14" s="218">
        <v>1013</v>
      </c>
      <c r="B14" s="217" t="s">
        <v>245</v>
      </c>
      <c r="C14" s="401"/>
      <c r="D14" s="274" t="s">
        <v>10</v>
      </c>
    </row>
    <row r="15" spans="1:4" x14ac:dyDescent="0.25">
      <c r="A15" s="218">
        <v>1014</v>
      </c>
      <c r="B15" s="217" t="s">
        <v>246</v>
      </c>
      <c r="C15" s="401"/>
      <c r="D15" s="274" t="s">
        <v>10</v>
      </c>
    </row>
    <row r="16" spans="1:4" x14ac:dyDescent="0.25">
      <c r="A16" s="218">
        <v>1015</v>
      </c>
      <c r="B16" s="217" t="s">
        <v>247</v>
      </c>
      <c r="C16" s="401"/>
      <c r="D16" s="274" t="s">
        <v>10</v>
      </c>
    </row>
    <row r="17" spans="1:4" x14ac:dyDescent="0.25">
      <c r="A17" s="218">
        <v>1016</v>
      </c>
      <c r="B17" s="217" t="s">
        <v>248</v>
      </c>
      <c r="C17" s="401"/>
      <c r="D17" s="274" t="s">
        <v>10</v>
      </c>
    </row>
    <row r="18" spans="1:4" x14ac:dyDescent="0.25">
      <c r="A18" s="218">
        <v>1017</v>
      </c>
      <c r="B18" s="217" t="s">
        <v>249</v>
      </c>
      <c r="C18" s="401"/>
      <c r="D18" s="274" t="s">
        <v>10</v>
      </c>
    </row>
    <row r="19" spans="1:4" x14ac:dyDescent="0.25">
      <c r="A19" s="218">
        <v>1018</v>
      </c>
      <c r="B19" s="217" t="s">
        <v>739</v>
      </c>
      <c r="C19" s="401"/>
      <c r="D19" s="273" t="s">
        <v>411</v>
      </c>
    </row>
    <row r="20" spans="1:4" x14ac:dyDescent="0.25">
      <c r="A20" s="218">
        <v>1019</v>
      </c>
      <c r="B20" s="217" t="s">
        <v>740</v>
      </c>
      <c r="C20" s="401"/>
      <c r="D20" s="273" t="s">
        <v>412</v>
      </c>
    </row>
    <row r="21" spans="1:4" x14ac:dyDescent="0.25">
      <c r="A21" s="218">
        <v>1020</v>
      </c>
      <c r="B21" s="217" t="s">
        <v>741</v>
      </c>
      <c r="C21" s="401"/>
      <c r="D21" s="273" t="s">
        <v>413</v>
      </c>
    </row>
    <row r="22" spans="1:4" x14ac:dyDescent="0.25">
      <c r="A22" s="218">
        <v>1021</v>
      </c>
      <c r="B22" s="217" t="s">
        <v>742</v>
      </c>
      <c r="C22" s="401"/>
      <c r="D22" s="274" t="s">
        <v>10</v>
      </c>
    </row>
    <row r="23" spans="1:4" x14ac:dyDescent="0.25">
      <c r="A23" s="218">
        <v>1022</v>
      </c>
      <c r="B23" s="217" t="s">
        <v>743</v>
      </c>
      <c r="C23" s="401"/>
      <c r="D23" s="274" t="s">
        <v>10</v>
      </c>
    </row>
    <row r="24" spans="1:4" x14ac:dyDescent="0.25">
      <c r="A24" s="218">
        <v>1023</v>
      </c>
      <c r="B24" s="217" t="s">
        <v>744</v>
      </c>
      <c r="C24" s="401"/>
      <c r="D24" s="273" t="s">
        <v>798</v>
      </c>
    </row>
    <row r="25" spans="1:4" x14ac:dyDescent="0.25">
      <c r="A25" s="218">
        <v>1024</v>
      </c>
      <c r="B25" s="217" t="s">
        <v>745</v>
      </c>
      <c r="C25" s="401"/>
      <c r="D25" s="273" t="s">
        <v>798</v>
      </c>
    </row>
    <row r="26" spans="1:4" x14ac:dyDescent="0.25">
      <c r="A26" s="218">
        <v>1025</v>
      </c>
      <c r="B26" s="217" t="s">
        <v>250</v>
      </c>
      <c r="C26" s="401"/>
      <c r="D26" s="273" t="s">
        <v>414</v>
      </c>
    </row>
    <row r="27" spans="1:4" x14ac:dyDescent="0.25">
      <c r="A27" s="218">
        <v>1026</v>
      </c>
      <c r="B27" s="217" t="s">
        <v>251</v>
      </c>
      <c r="C27" s="401"/>
      <c r="D27" s="273" t="s">
        <v>415</v>
      </c>
    </row>
    <row r="28" spans="1:4" x14ac:dyDescent="0.25">
      <c r="A28" s="218">
        <v>1027</v>
      </c>
      <c r="B28" s="217" t="s">
        <v>746</v>
      </c>
      <c r="C28" s="401"/>
      <c r="D28" s="273" t="s">
        <v>799</v>
      </c>
    </row>
    <row r="29" spans="1:4" x14ac:dyDescent="0.25">
      <c r="A29" s="218">
        <v>1028</v>
      </c>
      <c r="B29" s="218" t="s">
        <v>747</v>
      </c>
      <c r="C29" s="401"/>
      <c r="D29" s="273" t="s">
        <v>800</v>
      </c>
    </row>
    <row r="30" spans="1:4" x14ac:dyDescent="0.25">
      <c r="A30" s="218">
        <v>1029</v>
      </c>
      <c r="B30" s="218" t="s">
        <v>748</v>
      </c>
      <c r="C30" s="401"/>
      <c r="D30" s="273" t="s">
        <v>801</v>
      </c>
    </row>
    <row r="31" spans="1:4" x14ac:dyDescent="0.25">
      <c r="A31" s="218">
        <v>1030</v>
      </c>
      <c r="B31" s="217" t="s">
        <v>350</v>
      </c>
      <c r="C31" s="401"/>
      <c r="D31" s="273" t="s">
        <v>802</v>
      </c>
    </row>
    <row r="32" spans="1:4" x14ac:dyDescent="0.25">
      <c r="A32" s="218">
        <v>1031</v>
      </c>
      <c r="B32" s="217" t="s">
        <v>749</v>
      </c>
      <c r="C32" s="401"/>
      <c r="D32" s="273" t="s">
        <v>803</v>
      </c>
    </row>
    <row r="33" spans="1:4" x14ac:dyDescent="0.25">
      <c r="A33" s="218">
        <v>1032</v>
      </c>
      <c r="B33" s="217" t="s">
        <v>750</v>
      </c>
      <c r="C33" s="401"/>
      <c r="D33" s="273" t="s">
        <v>804</v>
      </c>
    </row>
    <row r="34" spans="1:4" x14ac:dyDescent="0.25">
      <c r="A34" s="218">
        <v>1033</v>
      </c>
      <c r="B34" s="217" t="s">
        <v>805</v>
      </c>
      <c r="C34" s="401"/>
      <c r="D34" s="273" t="s">
        <v>806</v>
      </c>
    </row>
    <row r="35" spans="1:4" x14ac:dyDescent="0.25">
      <c r="A35" s="218">
        <v>1034</v>
      </c>
      <c r="B35" s="217" t="s">
        <v>807</v>
      </c>
      <c r="C35" s="401"/>
      <c r="D35" s="273" t="s">
        <v>808</v>
      </c>
    </row>
    <row r="36" spans="1:4" x14ac:dyDescent="0.25">
      <c r="A36" s="218">
        <v>1035</v>
      </c>
      <c r="B36" s="217" t="s">
        <v>833</v>
      </c>
      <c r="C36" s="401"/>
      <c r="D36" s="273" t="s">
        <v>809</v>
      </c>
    </row>
    <row r="37" spans="1:4" x14ac:dyDescent="0.25">
      <c r="A37" s="218">
        <v>1036</v>
      </c>
      <c r="B37" s="217" t="s">
        <v>834</v>
      </c>
      <c r="C37" s="401"/>
      <c r="D37" s="274" t="s">
        <v>10</v>
      </c>
    </row>
    <row r="38" spans="1:4" x14ac:dyDescent="0.25">
      <c r="A38" s="218">
        <v>1037</v>
      </c>
      <c r="B38" s="217" t="s">
        <v>835</v>
      </c>
      <c r="C38" s="401"/>
      <c r="D38" s="274" t="s">
        <v>10</v>
      </c>
    </row>
    <row r="39" spans="1:4" x14ac:dyDescent="0.25">
      <c r="A39" s="218">
        <v>1038</v>
      </c>
      <c r="B39" s="217" t="s">
        <v>836</v>
      </c>
      <c r="C39" s="401"/>
      <c r="D39" s="274" t="s">
        <v>10</v>
      </c>
    </row>
    <row r="40" spans="1:4" x14ac:dyDescent="0.25">
      <c r="A40" s="218">
        <v>1039</v>
      </c>
      <c r="B40" s="217" t="s">
        <v>837</v>
      </c>
      <c r="C40" s="401"/>
      <c r="D40" s="274" t="s">
        <v>10</v>
      </c>
    </row>
    <row r="41" spans="1:4" x14ac:dyDescent="0.25">
      <c r="A41" s="218">
        <v>1040</v>
      </c>
      <c r="B41" s="217" t="s">
        <v>838</v>
      </c>
      <c r="C41" s="401"/>
      <c r="D41" s="274" t="s">
        <v>10</v>
      </c>
    </row>
    <row r="42" spans="1:4" x14ac:dyDescent="0.25">
      <c r="A42" s="218">
        <v>1041</v>
      </c>
      <c r="B42" s="217" t="s">
        <v>839</v>
      </c>
      <c r="C42" s="401"/>
      <c r="D42" s="274" t="s">
        <v>10</v>
      </c>
    </row>
    <row r="43" spans="1:4" ht="15.75" thickBot="1" x14ac:dyDescent="0.3">
      <c r="A43" s="220">
        <v>1042</v>
      </c>
      <c r="B43" s="219" t="s">
        <v>840</v>
      </c>
      <c r="C43" s="402"/>
      <c r="D43" s="275" t="s">
        <v>10</v>
      </c>
    </row>
    <row r="44" spans="1:4" x14ac:dyDescent="0.25">
      <c r="A44" s="281">
        <v>1043</v>
      </c>
      <c r="B44" s="282" t="s">
        <v>252</v>
      </c>
      <c r="C44" s="400" t="s">
        <v>397</v>
      </c>
      <c r="D44" s="273" t="s">
        <v>812</v>
      </c>
    </row>
    <row r="45" spans="1:4" ht="30.75" thickBot="1" x14ac:dyDescent="0.3">
      <c r="A45" s="283">
        <v>1044</v>
      </c>
      <c r="B45" s="284" t="s">
        <v>753</v>
      </c>
      <c r="C45" s="402"/>
      <c r="D45" s="277" t="s">
        <v>813</v>
      </c>
    </row>
    <row r="46" spans="1:4" x14ac:dyDescent="0.25">
      <c r="A46" s="285">
        <v>1045</v>
      </c>
      <c r="B46" s="286" t="s">
        <v>253</v>
      </c>
      <c r="C46" s="400" t="s">
        <v>810</v>
      </c>
      <c r="D46" s="273" t="s">
        <v>399</v>
      </c>
    </row>
    <row r="47" spans="1:4" x14ac:dyDescent="0.25">
      <c r="A47" s="287">
        <v>1046</v>
      </c>
      <c r="B47" s="288" t="s">
        <v>254</v>
      </c>
      <c r="C47" s="401"/>
      <c r="D47" s="273" t="s">
        <v>400</v>
      </c>
    </row>
    <row r="48" spans="1:4" x14ac:dyDescent="0.25">
      <c r="A48" s="287">
        <v>1047</v>
      </c>
      <c r="B48" s="288" t="s">
        <v>255</v>
      </c>
      <c r="C48" s="401"/>
      <c r="D48" s="273" t="s">
        <v>401</v>
      </c>
    </row>
    <row r="49" spans="1:4" x14ac:dyDescent="0.25">
      <c r="A49" s="287">
        <v>1048</v>
      </c>
      <c r="B49" s="288" t="s">
        <v>256</v>
      </c>
      <c r="C49" s="401"/>
      <c r="D49" s="273" t="s">
        <v>402</v>
      </c>
    </row>
    <row r="50" spans="1:4" x14ac:dyDescent="0.25">
      <c r="A50" s="287">
        <v>1049</v>
      </c>
      <c r="B50" s="288" t="s">
        <v>257</v>
      </c>
      <c r="C50" s="401"/>
      <c r="D50" s="273" t="s">
        <v>403</v>
      </c>
    </row>
    <row r="51" spans="1:4" x14ac:dyDescent="0.25">
      <c r="A51" s="287">
        <v>1050</v>
      </c>
      <c r="B51" s="288" t="s">
        <v>258</v>
      </c>
      <c r="C51" s="401"/>
      <c r="D51" s="273" t="s">
        <v>404</v>
      </c>
    </row>
    <row r="52" spans="1:4" x14ac:dyDescent="0.25">
      <c r="A52" s="287">
        <v>1051</v>
      </c>
      <c r="B52" s="288" t="s">
        <v>754</v>
      </c>
      <c r="C52" s="401"/>
      <c r="D52" s="273" t="s">
        <v>428</v>
      </c>
    </row>
    <row r="53" spans="1:4" x14ac:dyDescent="0.25">
      <c r="A53" s="287">
        <v>1052</v>
      </c>
      <c r="B53" s="288" t="s">
        <v>755</v>
      </c>
      <c r="C53" s="401"/>
      <c r="D53" s="273" t="s">
        <v>10</v>
      </c>
    </row>
    <row r="54" spans="1:4" x14ac:dyDescent="0.25">
      <c r="A54" s="287">
        <v>1053</v>
      </c>
      <c r="B54" s="288" t="s">
        <v>756</v>
      </c>
      <c r="C54" s="401"/>
      <c r="D54" s="273" t="s">
        <v>814</v>
      </c>
    </row>
    <row r="55" spans="1:4" ht="15.75" thickBot="1" x14ac:dyDescent="0.3">
      <c r="A55" s="289">
        <v>1054</v>
      </c>
      <c r="B55" s="290" t="s">
        <v>757</v>
      </c>
      <c r="C55" s="402"/>
      <c r="D55" s="44" t="s">
        <v>10</v>
      </c>
    </row>
    <row r="56" spans="1:4" x14ac:dyDescent="0.25">
      <c r="A56" s="291">
        <v>1055</v>
      </c>
      <c r="B56" s="292" t="s">
        <v>259</v>
      </c>
      <c r="C56" s="400" t="s">
        <v>107</v>
      </c>
      <c r="D56" s="278" t="s">
        <v>815</v>
      </c>
    </row>
    <row r="57" spans="1:4" x14ac:dyDescent="0.25">
      <c r="A57" s="293">
        <v>1056</v>
      </c>
      <c r="B57" s="294" t="s">
        <v>260</v>
      </c>
      <c r="C57" s="401"/>
      <c r="D57" s="278" t="s">
        <v>816</v>
      </c>
    </row>
    <row r="58" spans="1:4" x14ac:dyDescent="0.25">
      <c r="A58" s="293">
        <v>1057</v>
      </c>
      <c r="B58" s="294" t="s">
        <v>261</v>
      </c>
      <c r="C58" s="401"/>
      <c r="D58" s="278" t="s">
        <v>817</v>
      </c>
    </row>
    <row r="59" spans="1:4" x14ac:dyDescent="0.25">
      <c r="A59" s="293">
        <v>1058</v>
      </c>
      <c r="B59" s="294" t="s">
        <v>262</v>
      </c>
      <c r="C59" s="401"/>
      <c r="D59" s="278" t="s">
        <v>818</v>
      </c>
    </row>
    <row r="60" spans="1:4" x14ac:dyDescent="0.25">
      <c r="A60" s="293">
        <v>1059</v>
      </c>
      <c r="B60" s="294" t="s">
        <v>793</v>
      </c>
      <c r="C60" s="401"/>
      <c r="D60" s="278" t="s">
        <v>819</v>
      </c>
    </row>
    <row r="61" spans="1:4" x14ac:dyDescent="0.25">
      <c r="A61" s="293">
        <v>1060</v>
      </c>
      <c r="B61" s="294" t="s">
        <v>758</v>
      </c>
      <c r="C61" s="401"/>
      <c r="D61" s="278" t="s">
        <v>820</v>
      </c>
    </row>
    <row r="62" spans="1:4" x14ac:dyDescent="0.25">
      <c r="A62" s="293">
        <v>1061</v>
      </c>
      <c r="B62" s="294" t="s">
        <v>263</v>
      </c>
      <c r="C62" s="401"/>
      <c r="D62" s="278" t="s">
        <v>821</v>
      </c>
    </row>
    <row r="63" spans="1:4" ht="15.75" thickBot="1" x14ac:dyDescent="0.3">
      <c r="A63" s="295">
        <v>1062</v>
      </c>
      <c r="B63" s="296" t="s">
        <v>264</v>
      </c>
      <c r="C63" s="402"/>
      <c r="D63" s="44" t="s">
        <v>822</v>
      </c>
    </row>
    <row r="64" spans="1:4" x14ac:dyDescent="0.25">
      <c r="A64" s="222">
        <v>1063</v>
      </c>
      <c r="B64" s="221" t="s">
        <v>265</v>
      </c>
      <c r="C64" s="400" t="s">
        <v>823</v>
      </c>
      <c r="D64" s="276" t="s">
        <v>824</v>
      </c>
    </row>
    <row r="65" spans="1:4" x14ac:dyDescent="0.25">
      <c r="A65" s="218">
        <v>1064</v>
      </c>
      <c r="B65" s="217" t="s">
        <v>266</v>
      </c>
      <c r="C65" s="401"/>
      <c r="D65" s="273" t="s">
        <v>10</v>
      </c>
    </row>
    <row r="66" spans="1:4" x14ac:dyDescent="0.25">
      <c r="A66" s="218">
        <v>1065</v>
      </c>
      <c r="B66" s="217" t="s">
        <v>267</v>
      </c>
      <c r="C66" s="401"/>
      <c r="D66" s="273" t="s">
        <v>10</v>
      </c>
    </row>
    <row r="67" spans="1:4" x14ac:dyDescent="0.25">
      <c r="A67" s="218">
        <v>1066</v>
      </c>
      <c r="B67" s="217" t="s">
        <v>268</v>
      </c>
      <c r="C67" s="401"/>
      <c r="D67" s="273" t="s">
        <v>10</v>
      </c>
    </row>
    <row r="68" spans="1:4" x14ac:dyDescent="0.25">
      <c r="A68" s="218">
        <v>1067</v>
      </c>
      <c r="B68" s="217" t="s">
        <v>269</v>
      </c>
      <c r="C68" s="401"/>
      <c r="D68" s="273" t="s">
        <v>10</v>
      </c>
    </row>
    <row r="69" spans="1:4" x14ac:dyDescent="0.25">
      <c r="A69" s="218">
        <v>1068</v>
      </c>
      <c r="B69" s="217" t="s">
        <v>759</v>
      </c>
      <c r="C69" s="401"/>
      <c r="D69" s="273" t="s">
        <v>10</v>
      </c>
    </row>
    <row r="70" spans="1:4" ht="15.75" thickBot="1" x14ac:dyDescent="0.3">
      <c r="A70" s="220">
        <v>1069</v>
      </c>
      <c r="B70" s="219" t="s">
        <v>760</v>
      </c>
      <c r="C70" s="402"/>
      <c r="D70" s="44" t="s">
        <v>10</v>
      </c>
    </row>
    <row r="71" spans="1:4" x14ac:dyDescent="0.25">
      <c r="A71" s="281">
        <v>1070</v>
      </c>
      <c r="B71" s="282" t="s">
        <v>761</v>
      </c>
      <c r="C71" s="400" t="s">
        <v>811</v>
      </c>
      <c r="D71" s="271" t="s">
        <v>477</v>
      </c>
    </row>
    <row r="72" spans="1:4" x14ac:dyDescent="0.25">
      <c r="A72" s="297">
        <v>1071</v>
      </c>
      <c r="B72" s="298" t="s">
        <v>762</v>
      </c>
      <c r="C72" s="401"/>
      <c r="D72" s="271" t="s">
        <v>831</v>
      </c>
    </row>
    <row r="73" spans="1:4" ht="30" x14ac:dyDescent="0.25">
      <c r="A73" s="297">
        <v>1072</v>
      </c>
      <c r="B73" s="298" t="s">
        <v>351</v>
      </c>
      <c r="C73" s="401"/>
      <c r="D73" s="139" t="s">
        <v>453</v>
      </c>
    </row>
    <row r="74" spans="1:4" ht="30" x14ac:dyDescent="0.25">
      <c r="A74" s="297">
        <v>1073</v>
      </c>
      <c r="B74" s="298" t="s">
        <v>763</v>
      </c>
      <c r="C74" s="401"/>
      <c r="D74" s="139" t="s">
        <v>454</v>
      </c>
    </row>
    <row r="75" spans="1:4" ht="30" x14ac:dyDescent="0.25">
      <c r="A75" s="297">
        <v>1074</v>
      </c>
      <c r="B75" s="298" t="s">
        <v>352</v>
      </c>
      <c r="C75" s="401"/>
      <c r="D75" s="139" t="s">
        <v>827</v>
      </c>
    </row>
    <row r="76" spans="1:4" ht="30" x14ac:dyDescent="0.25">
      <c r="A76" s="297">
        <v>1075</v>
      </c>
      <c r="B76" s="298" t="s">
        <v>764</v>
      </c>
      <c r="C76" s="401"/>
      <c r="D76" s="139" t="s">
        <v>828</v>
      </c>
    </row>
    <row r="77" spans="1:4" x14ac:dyDescent="0.25">
      <c r="A77" s="297">
        <v>1076</v>
      </c>
      <c r="B77" s="298" t="s">
        <v>765</v>
      </c>
      <c r="C77" s="401"/>
      <c r="D77" s="139" t="s">
        <v>830</v>
      </c>
    </row>
    <row r="78" spans="1:4" ht="30" x14ac:dyDescent="0.25">
      <c r="A78" s="297">
        <v>1077</v>
      </c>
      <c r="B78" s="298" t="s">
        <v>766</v>
      </c>
      <c r="C78" s="401"/>
      <c r="D78" s="139" t="s">
        <v>829</v>
      </c>
    </row>
    <row r="79" spans="1:4" x14ac:dyDescent="0.25">
      <c r="A79" s="297">
        <v>1078</v>
      </c>
      <c r="B79" s="298" t="s">
        <v>767</v>
      </c>
      <c r="C79" s="401"/>
      <c r="D79" s="278" t="s">
        <v>825</v>
      </c>
    </row>
    <row r="80" spans="1:4" x14ac:dyDescent="0.25">
      <c r="A80" s="297">
        <v>1079</v>
      </c>
      <c r="B80" s="298" t="s">
        <v>768</v>
      </c>
      <c r="C80" s="401"/>
      <c r="D80" s="273" t="s">
        <v>10</v>
      </c>
    </row>
    <row r="81" spans="1:4" x14ac:dyDescent="0.25">
      <c r="A81" s="297">
        <v>1080</v>
      </c>
      <c r="B81" s="298" t="s">
        <v>769</v>
      </c>
      <c r="C81" s="401"/>
      <c r="D81" s="273" t="s">
        <v>10</v>
      </c>
    </row>
    <row r="82" spans="1:4" ht="15.75" thickBot="1" x14ac:dyDescent="0.3">
      <c r="A82" s="283">
        <v>1081</v>
      </c>
      <c r="B82" s="284" t="s">
        <v>770</v>
      </c>
      <c r="C82" s="402"/>
      <c r="D82" s="44" t="s">
        <v>10</v>
      </c>
    </row>
    <row r="83" spans="1:4" x14ac:dyDescent="0.25">
      <c r="A83" s="285">
        <v>1082</v>
      </c>
      <c r="B83" s="286" t="s">
        <v>771</v>
      </c>
      <c r="C83" s="400" t="s">
        <v>450</v>
      </c>
      <c r="D83" s="276" t="s">
        <v>826</v>
      </c>
    </row>
    <row r="84" spans="1:4" x14ac:dyDescent="0.25">
      <c r="A84" s="287">
        <v>1083</v>
      </c>
      <c r="B84" s="288" t="s">
        <v>772</v>
      </c>
      <c r="C84" s="401"/>
      <c r="D84" s="273" t="s">
        <v>10</v>
      </c>
    </row>
    <row r="85" spans="1:4" x14ac:dyDescent="0.25">
      <c r="A85" s="287">
        <v>1084</v>
      </c>
      <c r="B85" s="288" t="s">
        <v>773</v>
      </c>
      <c r="C85" s="401"/>
      <c r="D85" s="273" t="s">
        <v>10</v>
      </c>
    </row>
    <row r="86" spans="1:4" x14ac:dyDescent="0.25">
      <c r="A86" s="287">
        <v>1085</v>
      </c>
      <c r="B86" s="288" t="s">
        <v>774</v>
      </c>
      <c r="C86" s="401"/>
      <c r="D86" s="273" t="s">
        <v>10</v>
      </c>
    </row>
    <row r="87" spans="1:4" ht="15.75" thickBot="1" x14ac:dyDescent="0.3">
      <c r="A87" s="289">
        <v>1086</v>
      </c>
      <c r="B87" s="290" t="s">
        <v>775</v>
      </c>
      <c r="C87" s="402"/>
      <c r="D87" s="44" t="s">
        <v>10</v>
      </c>
    </row>
  </sheetData>
  <sheetProtection sheet="1" objects="1" scenarios="1"/>
  <mergeCells count="8">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78"/>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customWidth="1"/>
  </cols>
  <sheetData>
    <row r="1" spans="1:4" ht="15.75" thickBot="1" x14ac:dyDescent="0.3">
      <c r="A1" s="328" t="s">
        <v>89</v>
      </c>
      <c r="B1" s="13" t="s">
        <v>92</v>
      </c>
      <c r="C1" s="329" t="s">
        <v>480</v>
      </c>
      <c r="D1" s="329" t="s">
        <v>0</v>
      </c>
    </row>
    <row r="2" spans="1:4" x14ac:dyDescent="0.25">
      <c r="A2" s="183">
        <v>2001</v>
      </c>
      <c r="B2" s="184" t="s">
        <v>270</v>
      </c>
      <c r="C2" s="400" t="s">
        <v>361</v>
      </c>
      <c r="D2" s="146" t="s">
        <v>363</v>
      </c>
    </row>
    <row r="3" spans="1:4" x14ac:dyDescent="0.25">
      <c r="A3" s="301">
        <v>2002</v>
      </c>
      <c r="B3" s="307" t="s">
        <v>271</v>
      </c>
      <c r="C3" s="401"/>
      <c r="D3" s="271" t="s">
        <v>10</v>
      </c>
    </row>
    <row r="4" spans="1:4" x14ac:dyDescent="0.25">
      <c r="A4" s="301">
        <v>2003</v>
      </c>
      <c r="B4" s="307" t="s">
        <v>272</v>
      </c>
      <c r="C4" s="401"/>
      <c r="D4" s="271" t="s">
        <v>10</v>
      </c>
    </row>
    <row r="5" spans="1:4" x14ac:dyDescent="0.25">
      <c r="A5" s="301">
        <v>2004</v>
      </c>
      <c r="B5" s="307" t="s">
        <v>273</v>
      </c>
      <c r="C5" s="401"/>
      <c r="D5" s="271" t="s">
        <v>10</v>
      </c>
    </row>
    <row r="6" spans="1:4" x14ac:dyDescent="0.25">
      <c r="A6" s="301">
        <v>2005</v>
      </c>
      <c r="B6" s="307" t="s">
        <v>274</v>
      </c>
      <c r="C6" s="401"/>
      <c r="D6" s="271" t="s">
        <v>10</v>
      </c>
    </row>
    <row r="7" spans="1:4" ht="15.75" thickBot="1" x14ac:dyDescent="0.3">
      <c r="A7" s="185">
        <v>2006</v>
      </c>
      <c r="B7" s="186" t="s">
        <v>275</v>
      </c>
      <c r="C7" s="402"/>
      <c r="D7" s="143" t="s">
        <v>10</v>
      </c>
    </row>
    <row r="8" spans="1:4" ht="15.75" thickBot="1" x14ac:dyDescent="0.3">
      <c r="A8" s="187">
        <v>2007</v>
      </c>
      <c r="B8" s="188" t="s">
        <v>276</v>
      </c>
      <c r="C8" s="189" t="s">
        <v>464</v>
      </c>
      <c r="D8" s="190" t="s">
        <v>465</v>
      </c>
    </row>
    <row r="9" spans="1:4" x14ac:dyDescent="0.25">
      <c r="A9" s="135">
        <v>2008</v>
      </c>
      <c r="B9" s="136" t="s">
        <v>277</v>
      </c>
      <c r="C9" s="403" t="s">
        <v>466</v>
      </c>
      <c r="D9" s="146" t="s">
        <v>467</v>
      </c>
    </row>
    <row r="10" spans="1:4" x14ac:dyDescent="0.25">
      <c r="A10" s="299">
        <v>2009</v>
      </c>
      <c r="B10" s="138" t="s">
        <v>278</v>
      </c>
      <c r="C10" s="404"/>
      <c r="D10" s="271" t="s">
        <v>468</v>
      </c>
    </row>
    <row r="11" spans="1:4" x14ac:dyDescent="0.25">
      <c r="A11" s="299">
        <v>2010</v>
      </c>
      <c r="B11" s="138" t="s">
        <v>776</v>
      </c>
      <c r="C11" s="404"/>
      <c r="D11" s="271" t="s">
        <v>824</v>
      </c>
    </row>
    <row r="12" spans="1:4" x14ac:dyDescent="0.25">
      <c r="A12" s="299">
        <v>2011</v>
      </c>
      <c r="B12" s="138" t="s">
        <v>777</v>
      </c>
      <c r="C12" s="404"/>
      <c r="D12" s="271" t="s">
        <v>10</v>
      </c>
    </row>
    <row r="13" spans="1:4" x14ac:dyDescent="0.25">
      <c r="A13" s="299">
        <v>2012</v>
      </c>
      <c r="B13" s="138" t="s">
        <v>778</v>
      </c>
      <c r="C13" s="404"/>
      <c r="D13" s="271" t="s">
        <v>10</v>
      </c>
    </row>
    <row r="14" spans="1:4" x14ac:dyDescent="0.25">
      <c r="A14" s="299">
        <v>2013</v>
      </c>
      <c r="B14" s="138" t="s">
        <v>779</v>
      </c>
      <c r="C14" s="404"/>
      <c r="D14" s="271" t="s">
        <v>10</v>
      </c>
    </row>
    <row r="15" spans="1:4" x14ac:dyDescent="0.25">
      <c r="A15" s="299">
        <v>2014</v>
      </c>
      <c r="B15" s="138" t="s">
        <v>780</v>
      </c>
      <c r="C15" s="404"/>
      <c r="D15" s="271" t="s">
        <v>10</v>
      </c>
    </row>
    <row r="16" spans="1:4" x14ac:dyDescent="0.25">
      <c r="A16" s="299">
        <v>2015</v>
      </c>
      <c r="B16" s="138" t="s">
        <v>781</v>
      </c>
      <c r="C16" s="404"/>
      <c r="D16" s="271" t="s">
        <v>10</v>
      </c>
    </row>
    <row r="17" spans="1:4" ht="15.75" thickBot="1" x14ac:dyDescent="0.3">
      <c r="A17" s="140">
        <v>2016</v>
      </c>
      <c r="B17" s="178" t="s">
        <v>782</v>
      </c>
      <c r="C17" s="405"/>
      <c r="D17" s="143" t="s">
        <v>10</v>
      </c>
    </row>
    <row r="18" spans="1:4" x14ac:dyDescent="0.25">
      <c r="A18" s="163">
        <v>2017</v>
      </c>
      <c r="B18" s="176" t="s">
        <v>279</v>
      </c>
      <c r="C18" s="400" t="s">
        <v>469</v>
      </c>
      <c r="D18" s="146" t="s">
        <v>470</v>
      </c>
    </row>
    <row r="19" spans="1:4" x14ac:dyDescent="0.25">
      <c r="A19" s="300">
        <v>2018</v>
      </c>
      <c r="B19" s="302" t="s">
        <v>280</v>
      </c>
      <c r="C19" s="401"/>
      <c r="D19" s="271" t="s">
        <v>471</v>
      </c>
    </row>
    <row r="20" spans="1:4" ht="15.75" thickBot="1" x14ac:dyDescent="0.3">
      <c r="A20" s="166">
        <v>2019</v>
      </c>
      <c r="B20" s="177" t="s">
        <v>281</v>
      </c>
      <c r="C20" s="402"/>
      <c r="D20" s="143" t="s">
        <v>472</v>
      </c>
    </row>
    <row r="21" spans="1:4" x14ac:dyDescent="0.25">
      <c r="A21" s="153">
        <v>2020</v>
      </c>
      <c r="B21" s="154" t="s">
        <v>282</v>
      </c>
      <c r="C21" s="403" t="s">
        <v>407</v>
      </c>
      <c r="D21" s="146" t="s">
        <v>473</v>
      </c>
    </row>
    <row r="22" spans="1:4" x14ac:dyDescent="0.25">
      <c r="A22" s="306">
        <v>2021</v>
      </c>
      <c r="B22" s="155" t="s">
        <v>283</v>
      </c>
      <c r="C22" s="404"/>
      <c r="D22" s="271" t="s">
        <v>10</v>
      </c>
    </row>
    <row r="23" spans="1:4" x14ac:dyDescent="0.25">
      <c r="A23" s="306">
        <v>2022</v>
      </c>
      <c r="B23" s="155" t="s">
        <v>284</v>
      </c>
      <c r="C23" s="404"/>
      <c r="D23" s="271" t="s">
        <v>10</v>
      </c>
    </row>
    <row r="24" spans="1:4" x14ac:dyDescent="0.25">
      <c r="A24" s="306">
        <v>2023</v>
      </c>
      <c r="B24" s="155" t="s">
        <v>285</v>
      </c>
      <c r="C24" s="404"/>
      <c r="D24" s="271" t="s">
        <v>10</v>
      </c>
    </row>
    <row r="25" spans="1:4" x14ac:dyDescent="0.25">
      <c r="A25" s="306">
        <v>2024</v>
      </c>
      <c r="B25" s="155" t="s">
        <v>286</v>
      </c>
      <c r="C25" s="404"/>
      <c r="D25" s="271" t="s">
        <v>10</v>
      </c>
    </row>
    <row r="26" spans="1:4" x14ac:dyDescent="0.25">
      <c r="A26" s="306">
        <v>2025</v>
      </c>
      <c r="B26" s="155" t="s">
        <v>287</v>
      </c>
      <c r="C26" s="404"/>
      <c r="D26" s="271" t="s">
        <v>10</v>
      </c>
    </row>
    <row r="27" spans="1:4" x14ac:dyDescent="0.25">
      <c r="A27" s="306">
        <v>2026</v>
      </c>
      <c r="B27" s="155" t="s">
        <v>288</v>
      </c>
      <c r="C27" s="404"/>
      <c r="D27" s="271" t="s">
        <v>10</v>
      </c>
    </row>
    <row r="28" spans="1:4" x14ac:dyDescent="0.25">
      <c r="A28" s="306">
        <v>2027</v>
      </c>
      <c r="B28" s="155" t="s">
        <v>289</v>
      </c>
      <c r="C28" s="404"/>
      <c r="D28" s="271" t="s">
        <v>10</v>
      </c>
    </row>
    <row r="29" spans="1:4" x14ac:dyDescent="0.25">
      <c r="A29" s="306">
        <v>2028</v>
      </c>
      <c r="B29" s="155" t="s">
        <v>290</v>
      </c>
      <c r="C29" s="404"/>
      <c r="D29" s="271" t="s">
        <v>10</v>
      </c>
    </row>
    <row r="30" spans="1:4" x14ac:dyDescent="0.25">
      <c r="A30" s="306">
        <v>2029</v>
      </c>
      <c r="B30" s="155" t="s">
        <v>291</v>
      </c>
      <c r="C30" s="404"/>
      <c r="D30" s="271" t="s">
        <v>10</v>
      </c>
    </row>
    <row r="31" spans="1:4" x14ac:dyDescent="0.25">
      <c r="A31" s="306">
        <v>2030</v>
      </c>
      <c r="B31" s="155" t="s">
        <v>292</v>
      </c>
      <c r="C31" s="404"/>
      <c r="D31" s="271" t="s">
        <v>10</v>
      </c>
    </row>
    <row r="32" spans="1:4" x14ac:dyDescent="0.25">
      <c r="A32" s="306">
        <v>2031</v>
      </c>
      <c r="B32" s="155" t="s">
        <v>293</v>
      </c>
      <c r="C32" s="404"/>
      <c r="D32" s="271" t="s">
        <v>10</v>
      </c>
    </row>
    <row r="33" spans="1:4" x14ac:dyDescent="0.25">
      <c r="A33" s="306">
        <v>2032</v>
      </c>
      <c r="B33" s="155" t="s">
        <v>294</v>
      </c>
      <c r="C33" s="404"/>
      <c r="D33" s="271" t="s">
        <v>410</v>
      </c>
    </row>
    <row r="34" spans="1:4" x14ac:dyDescent="0.25">
      <c r="A34" s="306">
        <v>2033</v>
      </c>
      <c r="B34" s="155" t="s">
        <v>295</v>
      </c>
      <c r="C34" s="404"/>
      <c r="D34" s="271" t="s">
        <v>411</v>
      </c>
    </row>
    <row r="35" spans="1:4" x14ac:dyDescent="0.25">
      <c r="A35" s="306">
        <v>2034</v>
      </c>
      <c r="B35" s="155" t="s">
        <v>296</v>
      </c>
      <c r="C35" s="404"/>
      <c r="D35" s="271" t="s">
        <v>412</v>
      </c>
    </row>
    <row r="36" spans="1:4" x14ac:dyDescent="0.25">
      <c r="A36" s="306">
        <v>2035</v>
      </c>
      <c r="B36" s="155" t="s">
        <v>297</v>
      </c>
      <c r="C36" s="404"/>
      <c r="D36" s="271" t="s">
        <v>413</v>
      </c>
    </row>
    <row r="37" spans="1:4" x14ac:dyDescent="0.25">
      <c r="A37" s="306">
        <v>2036</v>
      </c>
      <c r="B37" s="155" t="s">
        <v>298</v>
      </c>
      <c r="C37" s="404"/>
      <c r="D37" s="271" t="s">
        <v>474</v>
      </c>
    </row>
    <row r="38" spans="1:4" x14ac:dyDescent="0.25">
      <c r="A38" s="306">
        <v>2037</v>
      </c>
      <c r="B38" s="155" t="s">
        <v>299</v>
      </c>
      <c r="C38" s="404"/>
      <c r="D38" s="271" t="s">
        <v>474</v>
      </c>
    </row>
    <row r="39" spans="1:4" x14ac:dyDescent="0.25">
      <c r="A39" s="306">
        <v>2038</v>
      </c>
      <c r="B39" s="155" t="s">
        <v>300</v>
      </c>
      <c r="C39" s="404"/>
      <c r="D39" s="271" t="s">
        <v>440</v>
      </c>
    </row>
    <row r="40" spans="1:4" x14ac:dyDescent="0.25">
      <c r="A40" s="306">
        <v>2039</v>
      </c>
      <c r="B40" s="155" t="s">
        <v>301</v>
      </c>
      <c r="C40" s="404"/>
      <c r="D40" s="271" t="s">
        <v>440</v>
      </c>
    </row>
    <row r="41" spans="1:4" x14ac:dyDescent="0.25">
      <c r="A41" s="306">
        <v>2040</v>
      </c>
      <c r="B41" s="155" t="s">
        <v>302</v>
      </c>
      <c r="C41" s="404"/>
      <c r="D41" s="271" t="s">
        <v>414</v>
      </c>
    </row>
    <row r="42" spans="1:4" x14ac:dyDescent="0.25">
      <c r="A42" s="306">
        <v>2041</v>
      </c>
      <c r="B42" s="155" t="s">
        <v>303</v>
      </c>
      <c r="C42" s="404"/>
      <c r="D42" s="271" t="s">
        <v>415</v>
      </c>
    </row>
    <row r="43" spans="1:4" x14ac:dyDescent="0.25">
      <c r="A43" s="306">
        <v>2042</v>
      </c>
      <c r="B43" s="155" t="s">
        <v>789</v>
      </c>
      <c r="C43" s="404"/>
      <c r="D43" s="271" t="s">
        <v>808</v>
      </c>
    </row>
    <row r="44" spans="1:4" x14ac:dyDescent="0.25">
      <c r="A44" s="306">
        <v>2043</v>
      </c>
      <c r="B44" s="155" t="s">
        <v>790</v>
      </c>
      <c r="C44" s="404"/>
      <c r="D44" s="271" t="s">
        <v>809</v>
      </c>
    </row>
    <row r="45" spans="1:4" x14ac:dyDescent="0.25">
      <c r="A45" s="306">
        <v>2044</v>
      </c>
      <c r="B45" s="155" t="s">
        <v>304</v>
      </c>
      <c r="C45" s="404"/>
      <c r="D45" s="271" t="s">
        <v>475</v>
      </c>
    </row>
    <row r="46" spans="1:4" x14ac:dyDescent="0.25">
      <c r="A46" s="306">
        <v>2045</v>
      </c>
      <c r="B46" s="155" t="s">
        <v>355</v>
      </c>
      <c r="C46" s="404"/>
      <c r="D46" s="271" t="s">
        <v>476</v>
      </c>
    </row>
    <row r="47" spans="1:4" x14ac:dyDescent="0.25">
      <c r="A47" s="306">
        <v>2046</v>
      </c>
      <c r="B47" s="155" t="s">
        <v>787</v>
      </c>
      <c r="C47" s="404"/>
      <c r="D47" s="271" t="s">
        <v>800</v>
      </c>
    </row>
    <row r="48" spans="1:4" ht="15.75" thickBot="1" x14ac:dyDescent="0.3">
      <c r="A48" s="158">
        <v>2047</v>
      </c>
      <c r="B48" s="175" t="s">
        <v>788</v>
      </c>
      <c r="C48" s="405"/>
      <c r="D48" s="143" t="s">
        <v>801</v>
      </c>
    </row>
    <row r="49" spans="1:4" ht="15" customHeight="1" x14ac:dyDescent="0.25">
      <c r="A49" s="163">
        <v>2048</v>
      </c>
      <c r="B49" s="176" t="s">
        <v>305</v>
      </c>
      <c r="C49" s="400" t="s">
        <v>469</v>
      </c>
      <c r="D49" s="146" t="s">
        <v>399</v>
      </c>
    </row>
    <row r="50" spans="1:4" x14ac:dyDescent="0.25">
      <c r="A50" s="300">
        <v>2049</v>
      </c>
      <c r="B50" s="302" t="s">
        <v>306</v>
      </c>
      <c r="C50" s="401"/>
      <c r="D50" s="271" t="s">
        <v>400</v>
      </c>
    </row>
    <row r="51" spans="1:4" x14ac:dyDescent="0.25">
      <c r="A51" s="300">
        <v>2050</v>
      </c>
      <c r="B51" s="302" t="s">
        <v>791</v>
      </c>
      <c r="C51" s="401"/>
      <c r="D51" s="271" t="s">
        <v>401</v>
      </c>
    </row>
    <row r="52" spans="1:4" x14ac:dyDescent="0.25">
      <c r="A52" s="300">
        <v>2051</v>
      </c>
      <c r="B52" s="302" t="s">
        <v>792</v>
      </c>
      <c r="C52" s="401"/>
      <c r="D52" s="271" t="s">
        <v>402</v>
      </c>
    </row>
    <row r="53" spans="1:4" x14ac:dyDescent="0.25">
      <c r="A53" s="300">
        <v>2052</v>
      </c>
      <c r="B53" s="302" t="s">
        <v>307</v>
      </c>
      <c r="C53" s="401"/>
      <c r="D53" s="271" t="s">
        <v>403</v>
      </c>
    </row>
    <row r="54" spans="1:4" x14ac:dyDescent="0.25">
      <c r="A54" s="300">
        <v>2053</v>
      </c>
      <c r="B54" s="302" t="s">
        <v>308</v>
      </c>
      <c r="C54" s="401"/>
      <c r="D54" s="271" t="s">
        <v>404</v>
      </c>
    </row>
    <row r="55" spans="1:4" ht="29.45" customHeight="1" x14ac:dyDescent="0.25">
      <c r="A55" s="300">
        <v>2054</v>
      </c>
      <c r="B55" s="302" t="s">
        <v>336</v>
      </c>
      <c r="C55" s="401"/>
      <c r="D55" s="271" t="s">
        <v>832</v>
      </c>
    </row>
    <row r="56" spans="1:4" ht="15.75" thickBot="1" x14ac:dyDescent="0.3">
      <c r="A56" s="166">
        <v>2055</v>
      </c>
      <c r="B56" s="177" t="s">
        <v>337</v>
      </c>
      <c r="C56" s="402"/>
      <c r="D56" s="143" t="s">
        <v>10</v>
      </c>
    </row>
    <row r="57" spans="1:4" x14ac:dyDescent="0.25">
      <c r="A57" s="179">
        <v>2056</v>
      </c>
      <c r="B57" s="180" t="s">
        <v>783</v>
      </c>
      <c r="C57" s="400" t="s">
        <v>450</v>
      </c>
      <c r="D57" s="146" t="s">
        <v>477</v>
      </c>
    </row>
    <row r="58" spans="1:4" x14ac:dyDescent="0.25">
      <c r="A58" s="304">
        <v>2057</v>
      </c>
      <c r="B58" s="303" t="s">
        <v>784</v>
      </c>
      <c r="C58" s="401"/>
      <c r="D58" s="271" t="s">
        <v>831</v>
      </c>
    </row>
    <row r="59" spans="1:4" ht="15" customHeight="1" x14ac:dyDescent="0.25">
      <c r="A59" s="304">
        <v>2058</v>
      </c>
      <c r="B59" s="303" t="s">
        <v>309</v>
      </c>
      <c r="C59" s="401"/>
      <c r="D59" s="271" t="s">
        <v>477</v>
      </c>
    </row>
    <row r="60" spans="1:4" x14ac:dyDescent="0.25">
      <c r="A60" s="304">
        <v>2059</v>
      </c>
      <c r="B60" s="303" t="s">
        <v>310</v>
      </c>
      <c r="C60" s="401"/>
      <c r="D60" s="271" t="s">
        <v>10</v>
      </c>
    </row>
    <row r="61" spans="1:4" x14ac:dyDescent="0.25">
      <c r="A61" s="304">
        <v>2060</v>
      </c>
      <c r="B61" s="303" t="s">
        <v>311</v>
      </c>
      <c r="C61" s="401"/>
      <c r="D61" s="271" t="s">
        <v>10</v>
      </c>
    </row>
    <row r="62" spans="1:4" x14ac:dyDescent="0.25">
      <c r="A62" s="304">
        <v>2061</v>
      </c>
      <c r="B62" s="303" t="s">
        <v>312</v>
      </c>
      <c r="C62" s="401"/>
      <c r="D62" s="271" t="s">
        <v>10</v>
      </c>
    </row>
    <row r="63" spans="1:4" ht="30" x14ac:dyDescent="0.25">
      <c r="A63" s="304">
        <v>2062</v>
      </c>
      <c r="B63" s="303" t="s">
        <v>328</v>
      </c>
      <c r="C63" s="401"/>
      <c r="D63" s="271" t="s">
        <v>453</v>
      </c>
    </row>
    <row r="64" spans="1:4" ht="30" x14ac:dyDescent="0.25">
      <c r="A64" s="304">
        <v>2063</v>
      </c>
      <c r="B64" s="303" t="s">
        <v>329</v>
      </c>
      <c r="C64" s="401"/>
      <c r="D64" s="271" t="s">
        <v>454</v>
      </c>
    </row>
    <row r="65" spans="1:4" ht="30" x14ac:dyDescent="0.25">
      <c r="A65" s="304">
        <v>2064</v>
      </c>
      <c r="B65" s="303" t="s">
        <v>785</v>
      </c>
      <c r="C65" s="401"/>
      <c r="D65" s="271" t="s">
        <v>827</v>
      </c>
    </row>
    <row r="66" spans="1:4" ht="30" x14ac:dyDescent="0.25">
      <c r="A66" s="304">
        <v>2065</v>
      </c>
      <c r="B66" s="303" t="s">
        <v>786</v>
      </c>
      <c r="C66" s="401"/>
      <c r="D66" s="271" t="s">
        <v>828</v>
      </c>
    </row>
    <row r="67" spans="1:4" ht="30" x14ac:dyDescent="0.25">
      <c r="A67" s="304">
        <v>2066</v>
      </c>
      <c r="B67" s="303" t="s">
        <v>353</v>
      </c>
      <c r="C67" s="401"/>
      <c r="D67" s="271" t="s">
        <v>462</v>
      </c>
    </row>
    <row r="68" spans="1:4" ht="30" x14ac:dyDescent="0.25">
      <c r="A68" s="304">
        <v>2067</v>
      </c>
      <c r="B68" s="303" t="s">
        <v>354</v>
      </c>
      <c r="C68" s="401"/>
      <c r="D68" s="271" t="s">
        <v>463</v>
      </c>
    </row>
    <row r="69" spans="1:4" x14ac:dyDescent="0.25">
      <c r="A69" s="304">
        <v>2068</v>
      </c>
      <c r="B69" s="303" t="s">
        <v>335</v>
      </c>
      <c r="C69" s="401"/>
      <c r="D69" s="271" t="s">
        <v>455</v>
      </c>
    </row>
    <row r="70" spans="1:4" x14ac:dyDescent="0.25">
      <c r="A70" s="304">
        <v>2069</v>
      </c>
      <c r="B70" s="303" t="s">
        <v>331</v>
      </c>
      <c r="C70" s="401"/>
      <c r="D70" s="271" t="s">
        <v>10</v>
      </c>
    </row>
    <row r="71" spans="1:4" x14ac:dyDescent="0.25">
      <c r="A71" s="304">
        <v>2070</v>
      </c>
      <c r="B71" s="303" t="s">
        <v>332</v>
      </c>
      <c r="C71" s="401"/>
      <c r="D71" s="271" t="s">
        <v>10</v>
      </c>
    </row>
    <row r="72" spans="1:4" x14ac:dyDescent="0.25">
      <c r="A72" s="304">
        <v>2071</v>
      </c>
      <c r="B72" s="303" t="s">
        <v>334</v>
      </c>
      <c r="C72" s="401"/>
      <c r="D72" s="271" t="s">
        <v>10</v>
      </c>
    </row>
    <row r="73" spans="1:4" x14ac:dyDescent="0.25">
      <c r="A73" s="304">
        <v>2072</v>
      </c>
      <c r="B73" s="303" t="s">
        <v>333</v>
      </c>
      <c r="C73" s="401"/>
      <c r="D73" s="271" t="s">
        <v>10</v>
      </c>
    </row>
    <row r="74" spans="1:4" x14ac:dyDescent="0.25">
      <c r="A74" s="304">
        <v>2073</v>
      </c>
      <c r="B74" s="303" t="s">
        <v>313</v>
      </c>
      <c r="C74" s="401"/>
      <c r="D74" s="271" t="s">
        <v>456</v>
      </c>
    </row>
    <row r="75" spans="1:4" x14ac:dyDescent="0.25">
      <c r="A75" s="304">
        <v>2074</v>
      </c>
      <c r="B75" s="303" t="s">
        <v>314</v>
      </c>
      <c r="C75" s="401"/>
      <c r="D75" s="271" t="s">
        <v>457</v>
      </c>
    </row>
    <row r="76" spans="1:4" x14ac:dyDescent="0.25">
      <c r="A76" s="304">
        <v>2075</v>
      </c>
      <c r="B76" s="303" t="s">
        <v>315</v>
      </c>
      <c r="C76" s="401"/>
      <c r="D76" s="271" t="s">
        <v>458</v>
      </c>
    </row>
    <row r="77" spans="1:4" ht="15.75" thickBot="1" x14ac:dyDescent="0.3">
      <c r="A77" s="181">
        <v>2076</v>
      </c>
      <c r="B77" s="182" t="s">
        <v>316</v>
      </c>
      <c r="C77" s="402"/>
      <c r="D77" s="143" t="s">
        <v>459</v>
      </c>
    </row>
    <row r="78" spans="1:4" ht="15.75" thickBot="1" x14ac:dyDescent="0.3">
      <c r="A78" s="305">
        <v>2077</v>
      </c>
      <c r="B78" s="191" t="s">
        <v>330</v>
      </c>
      <c r="C78" s="189" t="s">
        <v>478</v>
      </c>
      <c r="D78" s="190" t="s">
        <v>479</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72FCA-B5E2-480D-9E13-619C17CE0D67}">
  <sheetPr>
    <tabColor rgb="FF02525E"/>
  </sheetPr>
  <dimension ref="A1:D155"/>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style="144" customWidth="1"/>
  </cols>
  <sheetData>
    <row r="1" spans="1:4" ht="15.75" thickBot="1" x14ac:dyDescent="0.3">
      <c r="A1" s="330" t="s">
        <v>89</v>
      </c>
      <c r="B1" s="315" t="s">
        <v>92</v>
      </c>
      <c r="C1" s="332" t="s">
        <v>480</v>
      </c>
      <c r="D1" s="342" t="s">
        <v>0</v>
      </c>
    </row>
    <row r="2" spans="1:4" x14ac:dyDescent="0.25">
      <c r="A2" s="334"/>
      <c r="B2" s="334"/>
      <c r="C2" s="408" t="s">
        <v>848</v>
      </c>
      <c r="D2" s="406" t="s">
        <v>912</v>
      </c>
    </row>
    <row r="3" spans="1:4" x14ac:dyDescent="0.25">
      <c r="A3" s="334"/>
      <c r="B3" s="334"/>
      <c r="C3" s="408"/>
      <c r="D3" s="406"/>
    </row>
    <row r="4" spans="1:4" x14ac:dyDescent="0.25">
      <c r="A4" s="334"/>
      <c r="B4" s="334"/>
      <c r="C4" s="408"/>
      <c r="D4" s="406"/>
    </row>
    <row r="5" spans="1:4" x14ac:dyDescent="0.25">
      <c r="A5" s="334"/>
      <c r="B5" s="334"/>
      <c r="C5" s="408"/>
      <c r="D5" s="406"/>
    </row>
    <row r="6" spans="1:4" x14ac:dyDescent="0.25">
      <c r="A6" s="334"/>
      <c r="B6" s="334"/>
      <c r="C6" s="408"/>
      <c r="D6" s="406"/>
    </row>
    <row r="7" spans="1:4" x14ac:dyDescent="0.25">
      <c r="A7" s="334"/>
      <c r="B7" s="334"/>
      <c r="C7" s="408"/>
      <c r="D7" s="406"/>
    </row>
    <row r="8" spans="1:4" x14ac:dyDescent="0.25">
      <c r="A8" s="334"/>
      <c r="B8" s="334"/>
      <c r="C8" s="408"/>
      <c r="D8" s="406"/>
    </row>
    <row r="9" spans="1:4" x14ac:dyDescent="0.25">
      <c r="A9" s="334"/>
      <c r="B9" s="334"/>
      <c r="C9" s="408"/>
      <c r="D9" s="406"/>
    </row>
    <row r="10" spans="1:4" x14ac:dyDescent="0.25">
      <c r="A10" s="334"/>
      <c r="B10" s="334"/>
      <c r="C10" s="408"/>
      <c r="D10" s="406"/>
    </row>
    <row r="11" spans="1:4" x14ac:dyDescent="0.25">
      <c r="A11" s="334"/>
      <c r="B11" s="334"/>
      <c r="C11" s="408"/>
      <c r="D11" s="406"/>
    </row>
    <row r="12" spans="1:4" x14ac:dyDescent="0.25">
      <c r="A12" s="334"/>
      <c r="B12" s="334"/>
      <c r="C12" s="408"/>
      <c r="D12" s="406"/>
    </row>
    <row r="13" spans="1:4" x14ac:dyDescent="0.25">
      <c r="A13" s="334"/>
      <c r="B13" s="334"/>
      <c r="C13" s="408"/>
      <c r="D13" s="406"/>
    </row>
    <row r="14" spans="1:4" x14ac:dyDescent="0.25">
      <c r="A14" s="334"/>
      <c r="B14" s="334"/>
      <c r="C14" s="408"/>
      <c r="D14" s="406"/>
    </row>
    <row r="15" spans="1:4" x14ac:dyDescent="0.25">
      <c r="A15" s="334"/>
      <c r="B15" s="334"/>
      <c r="C15" s="408"/>
      <c r="D15" s="406"/>
    </row>
    <row r="16" spans="1:4" x14ac:dyDescent="0.25">
      <c r="A16" s="334"/>
      <c r="B16" s="334"/>
      <c r="C16" s="408"/>
      <c r="D16" s="406"/>
    </row>
    <row r="17" spans="1:4" ht="15.75" thickBot="1" x14ac:dyDescent="0.3">
      <c r="A17" s="316"/>
      <c r="B17" s="316"/>
      <c r="C17" s="409"/>
      <c r="D17" s="407"/>
    </row>
    <row r="18" spans="1:4" ht="14.45" customHeight="1" x14ac:dyDescent="0.25">
      <c r="A18" s="336"/>
      <c r="B18" s="336"/>
      <c r="C18" s="401" t="s">
        <v>361</v>
      </c>
      <c r="D18" s="406" t="s">
        <v>849</v>
      </c>
    </row>
    <row r="19" spans="1:4" x14ac:dyDescent="0.25">
      <c r="A19" s="336"/>
      <c r="B19" s="336"/>
      <c r="C19" s="401"/>
      <c r="D19" s="406"/>
    </row>
    <row r="20" spans="1:4" x14ac:dyDescent="0.25">
      <c r="A20" s="336"/>
      <c r="B20" s="336"/>
      <c r="C20" s="401"/>
      <c r="D20" s="406"/>
    </row>
    <row r="21" spans="1:4" x14ac:dyDescent="0.25">
      <c r="A21" s="336"/>
      <c r="B21" s="336"/>
      <c r="C21" s="401"/>
      <c r="D21" s="406"/>
    </row>
    <row r="22" spans="1:4" x14ac:dyDescent="0.25">
      <c r="A22" s="336"/>
      <c r="B22" s="336"/>
      <c r="C22" s="401"/>
      <c r="D22" s="406"/>
    </row>
    <row r="23" spans="1:4" x14ac:dyDescent="0.25">
      <c r="A23" s="336"/>
      <c r="B23" s="336"/>
      <c r="C23" s="401"/>
      <c r="D23" s="406"/>
    </row>
    <row r="24" spans="1:4" x14ac:dyDescent="0.25">
      <c r="A24" s="336"/>
      <c r="B24" s="336"/>
      <c r="C24" s="401"/>
      <c r="D24" s="406"/>
    </row>
    <row r="25" spans="1:4" x14ac:dyDescent="0.25">
      <c r="A25" s="336"/>
      <c r="B25" s="336"/>
      <c r="C25" s="401"/>
      <c r="D25" s="406"/>
    </row>
    <row r="26" spans="1:4" ht="14.45" customHeight="1" x14ac:dyDescent="0.25">
      <c r="A26" s="336"/>
      <c r="B26" s="336"/>
      <c r="C26" s="401"/>
      <c r="D26" s="406"/>
    </row>
    <row r="27" spans="1:4" x14ac:dyDescent="0.25">
      <c r="A27" s="336"/>
      <c r="B27" s="336"/>
      <c r="C27" s="401"/>
      <c r="D27" s="406"/>
    </row>
    <row r="28" spans="1:4" x14ac:dyDescent="0.25">
      <c r="A28" s="336"/>
      <c r="B28" s="336"/>
      <c r="C28" s="401"/>
      <c r="D28" s="406"/>
    </row>
    <row r="29" spans="1:4" x14ac:dyDescent="0.25">
      <c r="A29" s="336"/>
      <c r="B29" s="336"/>
      <c r="C29" s="401"/>
      <c r="D29" s="406"/>
    </row>
    <row r="30" spans="1:4" x14ac:dyDescent="0.25">
      <c r="A30" s="336"/>
      <c r="B30" s="336"/>
      <c r="C30" s="401"/>
      <c r="D30" s="406"/>
    </row>
    <row r="31" spans="1:4" x14ac:dyDescent="0.25">
      <c r="A31" s="336"/>
      <c r="B31" s="336"/>
      <c r="C31" s="401"/>
      <c r="D31" s="406"/>
    </row>
    <row r="32" spans="1:4" x14ac:dyDescent="0.25">
      <c r="A32" s="336"/>
      <c r="B32" s="336"/>
      <c r="C32" s="401"/>
      <c r="D32" s="406"/>
    </row>
    <row r="33" spans="1:4" x14ac:dyDescent="0.25">
      <c r="A33" s="336"/>
      <c r="B33" s="336"/>
      <c r="C33" s="401"/>
      <c r="D33" s="406"/>
    </row>
    <row r="34" spans="1:4" x14ac:dyDescent="0.25">
      <c r="A34" s="336"/>
      <c r="B34" s="336"/>
      <c r="C34" s="401"/>
      <c r="D34" s="406"/>
    </row>
    <row r="35" spans="1:4" x14ac:dyDescent="0.25">
      <c r="A35" s="336"/>
      <c r="B35" s="336"/>
      <c r="C35" s="401"/>
      <c r="D35" s="406"/>
    </row>
    <row r="36" spans="1:4" x14ac:dyDescent="0.25">
      <c r="A36" s="336"/>
      <c r="B36" s="336"/>
      <c r="C36" s="401"/>
      <c r="D36" s="406"/>
    </row>
    <row r="37" spans="1:4" ht="15.75" thickBot="1" x14ac:dyDescent="0.3">
      <c r="A37" s="317"/>
      <c r="B37" s="317"/>
      <c r="C37" s="402"/>
      <c r="D37" s="407"/>
    </row>
    <row r="38" spans="1:4" ht="14.45" customHeight="1" x14ac:dyDescent="0.25">
      <c r="A38" s="335"/>
      <c r="B38" s="335"/>
      <c r="C38" s="401" t="s">
        <v>850</v>
      </c>
      <c r="D38" s="406" t="s">
        <v>851</v>
      </c>
    </row>
    <row r="39" spans="1:4" x14ac:dyDescent="0.25">
      <c r="A39" s="335"/>
      <c r="B39" s="335"/>
      <c r="C39" s="401"/>
      <c r="D39" s="406"/>
    </row>
    <row r="40" spans="1:4" x14ac:dyDescent="0.25">
      <c r="A40" s="335"/>
      <c r="B40" s="335"/>
      <c r="C40" s="401"/>
      <c r="D40" s="406"/>
    </row>
    <row r="41" spans="1:4" x14ac:dyDescent="0.25">
      <c r="A41" s="335"/>
      <c r="B41" s="335"/>
      <c r="C41" s="401"/>
      <c r="D41" s="406"/>
    </row>
    <row r="42" spans="1:4" x14ac:dyDescent="0.25">
      <c r="A42" s="335"/>
      <c r="B42" s="335"/>
      <c r="C42" s="401"/>
      <c r="D42" s="406"/>
    </row>
    <row r="43" spans="1:4" x14ac:dyDescent="0.25">
      <c r="A43" s="335"/>
      <c r="B43" s="335"/>
      <c r="C43" s="401"/>
      <c r="D43" s="406"/>
    </row>
    <row r="44" spans="1:4" x14ac:dyDescent="0.25">
      <c r="A44" s="335"/>
      <c r="B44" s="335"/>
      <c r="C44" s="401"/>
      <c r="D44" s="406"/>
    </row>
    <row r="45" spans="1:4" x14ac:dyDescent="0.25">
      <c r="A45" s="335"/>
      <c r="B45" s="335"/>
      <c r="C45" s="401"/>
      <c r="D45" s="406"/>
    </row>
    <row r="46" spans="1:4" x14ac:dyDescent="0.25">
      <c r="A46" s="335"/>
      <c r="B46" s="335"/>
      <c r="C46" s="401"/>
      <c r="D46" s="406"/>
    </row>
    <row r="47" spans="1:4" x14ac:dyDescent="0.25">
      <c r="A47" s="335"/>
      <c r="B47" s="335"/>
      <c r="C47" s="401"/>
      <c r="D47" s="406"/>
    </row>
    <row r="48" spans="1:4" x14ac:dyDescent="0.25">
      <c r="A48" s="335"/>
      <c r="B48" s="335"/>
      <c r="C48" s="401"/>
      <c r="D48" s="406"/>
    </row>
    <row r="49" spans="1:4" x14ac:dyDescent="0.25">
      <c r="A49" s="335"/>
      <c r="B49" s="335"/>
      <c r="C49" s="401"/>
      <c r="D49" s="406"/>
    </row>
    <row r="50" spans="1:4" x14ac:dyDescent="0.25">
      <c r="A50" s="335"/>
      <c r="B50" s="335"/>
      <c r="C50" s="401"/>
      <c r="D50" s="406"/>
    </row>
    <row r="51" spans="1:4" x14ac:dyDescent="0.25">
      <c r="A51" s="335"/>
      <c r="B51" s="335"/>
      <c r="C51" s="401"/>
      <c r="D51" s="406"/>
    </row>
    <row r="52" spans="1:4" x14ac:dyDescent="0.25">
      <c r="A52" s="335"/>
      <c r="B52" s="335"/>
      <c r="C52" s="401"/>
      <c r="D52" s="406"/>
    </row>
    <row r="53" spans="1:4" x14ac:dyDescent="0.25">
      <c r="A53" s="335"/>
      <c r="B53" s="335"/>
      <c r="C53" s="401"/>
      <c r="D53" s="406"/>
    </row>
    <row r="54" spans="1:4" x14ac:dyDescent="0.25">
      <c r="A54" s="335"/>
      <c r="B54" s="335"/>
      <c r="C54" s="401"/>
      <c r="D54" s="406"/>
    </row>
    <row r="55" spans="1:4" x14ac:dyDescent="0.25">
      <c r="A55" s="335"/>
      <c r="B55" s="335"/>
      <c r="C55" s="401"/>
      <c r="D55" s="406"/>
    </row>
    <row r="56" spans="1:4" x14ac:dyDescent="0.25">
      <c r="A56" s="335"/>
      <c r="B56" s="335"/>
      <c r="C56" s="401"/>
      <c r="D56" s="406"/>
    </row>
    <row r="57" spans="1:4" ht="15.75" thickBot="1" x14ac:dyDescent="0.3">
      <c r="A57" s="318"/>
      <c r="B57" s="318"/>
      <c r="C57" s="402"/>
      <c r="D57" s="407"/>
    </row>
    <row r="58" spans="1:4" x14ac:dyDescent="0.25">
      <c r="A58" s="337"/>
      <c r="B58" s="337"/>
      <c r="C58" s="401" t="s">
        <v>852</v>
      </c>
      <c r="D58" s="406" t="s">
        <v>853</v>
      </c>
    </row>
    <row r="59" spans="1:4" x14ac:dyDescent="0.25">
      <c r="A59" s="337"/>
      <c r="B59" s="337"/>
      <c r="C59" s="401"/>
      <c r="D59" s="406"/>
    </row>
    <row r="60" spans="1:4" x14ac:dyDescent="0.25">
      <c r="A60" s="337"/>
      <c r="B60" s="337"/>
      <c r="C60" s="401"/>
      <c r="D60" s="406"/>
    </row>
    <row r="61" spans="1:4" x14ac:dyDescent="0.25">
      <c r="A61" s="337"/>
      <c r="B61" s="337"/>
      <c r="C61" s="401"/>
      <c r="D61" s="406"/>
    </row>
    <row r="62" spans="1:4" x14ac:dyDescent="0.25">
      <c r="A62" s="337"/>
      <c r="B62" s="337"/>
      <c r="C62" s="401"/>
      <c r="D62" s="406"/>
    </row>
    <row r="63" spans="1:4" x14ac:dyDescent="0.25">
      <c r="A63" s="337"/>
      <c r="B63" s="337"/>
      <c r="C63" s="401"/>
      <c r="D63" s="406"/>
    </row>
    <row r="64" spans="1:4" x14ac:dyDescent="0.25">
      <c r="A64" s="337"/>
      <c r="B64" s="337"/>
      <c r="C64" s="401"/>
      <c r="D64" s="406"/>
    </row>
    <row r="65" spans="1:4" x14ac:dyDescent="0.25">
      <c r="A65" s="337"/>
      <c r="B65" s="337"/>
      <c r="C65" s="401"/>
      <c r="D65" s="406"/>
    </row>
    <row r="66" spans="1:4" x14ac:dyDescent="0.25">
      <c r="A66" s="337"/>
      <c r="B66" s="337"/>
      <c r="C66" s="401"/>
      <c r="D66" s="406"/>
    </row>
    <row r="67" spans="1:4" x14ac:dyDescent="0.25">
      <c r="A67" s="337"/>
      <c r="B67" s="337"/>
      <c r="C67" s="401"/>
      <c r="D67" s="406"/>
    </row>
    <row r="68" spans="1:4" x14ac:dyDescent="0.25">
      <c r="A68" s="337"/>
      <c r="B68" s="337"/>
      <c r="C68" s="401"/>
      <c r="D68" s="406"/>
    </row>
    <row r="69" spans="1:4" x14ac:dyDescent="0.25">
      <c r="A69" s="337"/>
      <c r="B69" s="337"/>
      <c r="C69" s="401"/>
      <c r="D69" s="406"/>
    </row>
    <row r="70" spans="1:4" x14ac:dyDescent="0.25">
      <c r="A70" s="337"/>
      <c r="B70" s="337"/>
      <c r="C70" s="401"/>
      <c r="D70" s="406"/>
    </row>
    <row r="71" spans="1:4" x14ac:dyDescent="0.25">
      <c r="A71" s="337"/>
      <c r="B71" s="337"/>
      <c r="C71" s="401"/>
      <c r="D71" s="406"/>
    </row>
    <row r="72" spans="1:4" ht="15.75" thickBot="1" x14ac:dyDescent="0.3">
      <c r="A72" s="319"/>
      <c r="B72" s="319"/>
      <c r="C72" s="402"/>
      <c r="D72" s="407"/>
    </row>
    <row r="73" spans="1:4" x14ac:dyDescent="0.25">
      <c r="A73" s="339"/>
      <c r="B73" s="339"/>
      <c r="C73" s="401" t="s">
        <v>854</v>
      </c>
      <c r="D73" s="406" t="s">
        <v>855</v>
      </c>
    </row>
    <row r="74" spans="1:4" x14ac:dyDescent="0.25">
      <c r="A74" s="339"/>
      <c r="B74" s="339"/>
      <c r="C74" s="401"/>
      <c r="D74" s="406"/>
    </row>
    <row r="75" spans="1:4" x14ac:dyDescent="0.25">
      <c r="A75" s="339"/>
      <c r="B75" s="339"/>
      <c r="C75" s="401"/>
      <c r="D75" s="406"/>
    </row>
    <row r="76" spans="1:4" x14ac:dyDescent="0.25">
      <c r="A76" s="339"/>
      <c r="B76" s="339"/>
      <c r="C76" s="401"/>
      <c r="D76" s="406"/>
    </row>
    <row r="77" spans="1:4" x14ac:dyDescent="0.25">
      <c r="A77" s="339"/>
      <c r="B77" s="339"/>
      <c r="C77" s="401"/>
      <c r="D77" s="406"/>
    </row>
    <row r="78" spans="1:4" x14ac:dyDescent="0.25">
      <c r="A78" s="339"/>
      <c r="B78" s="339"/>
      <c r="C78" s="401"/>
      <c r="D78" s="406"/>
    </row>
    <row r="79" spans="1:4" x14ac:dyDescent="0.25">
      <c r="A79" s="339"/>
      <c r="B79" s="339"/>
      <c r="C79" s="401"/>
      <c r="D79" s="406"/>
    </row>
    <row r="80" spans="1:4" x14ac:dyDescent="0.25">
      <c r="A80" s="339"/>
      <c r="B80" s="339"/>
      <c r="C80" s="401"/>
      <c r="D80" s="406"/>
    </row>
    <row r="81" spans="1:4" x14ac:dyDescent="0.25">
      <c r="A81" s="339"/>
      <c r="B81" s="339"/>
      <c r="C81" s="401"/>
      <c r="D81" s="406"/>
    </row>
    <row r="82" spans="1:4" x14ac:dyDescent="0.25">
      <c r="A82" s="339"/>
      <c r="B82" s="339"/>
      <c r="C82" s="401"/>
      <c r="D82" s="406"/>
    </row>
    <row r="83" spans="1:4" x14ac:dyDescent="0.25">
      <c r="A83" s="339"/>
      <c r="B83" s="339"/>
      <c r="C83" s="401"/>
      <c r="D83" s="406"/>
    </row>
    <row r="84" spans="1:4" x14ac:dyDescent="0.25">
      <c r="A84" s="339"/>
      <c r="B84" s="339"/>
      <c r="C84" s="401"/>
      <c r="D84" s="406"/>
    </row>
    <row r="85" spans="1:4" x14ac:dyDescent="0.25">
      <c r="A85" s="339"/>
      <c r="B85" s="339"/>
      <c r="C85" s="401"/>
      <c r="D85" s="406"/>
    </row>
    <row r="86" spans="1:4" x14ac:dyDescent="0.25">
      <c r="A86" s="339"/>
      <c r="B86" s="339"/>
      <c r="C86" s="401"/>
      <c r="D86" s="406"/>
    </row>
    <row r="87" spans="1:4" x14ac:dyDescent="0.25">
      <c r="A87" s="339"/>
      <c r="B87" s="339"/>
      <c r="C87" s="401"/>
      <c r="D87" s="406"/>
    </row>
    <row r="88" spans="1:4" x14ac:dyDescent="0.25">
      <c r="A88" s="339"/>
      <c r="B88" s="339"/>
      <c r="C88" s="401"/>
      <c r="D88" s="406"/>
    </row>
    <row r="89" spans="1:4" ht="15.75" thickBot="1" x14ac:dyDescent="0.3">
      <c r="A89" s="320"/>
      <c r="B89" s="320"/>
      <c r="C89" s="402"/>
      <c r="D89" s="407"/>
    </row>
    <row r="90" spans="1:4" x14ac:dyDescent="0.25">
      <c r="A90" s="338"/>
      <c r="B90" s="338"/>
      <c r="C90" s="401" t="s">
        <v>856</v>
      </c>
      <c r="D90" s="406" t="s">
        <v>857</v>
      </c>
    </row>
    <row r="91" spans="1:4" x14ac:dyDescent="0.25">
      <c r="A91" s="338"/>
      <c r="B91" s="338"/>
      <c r="C91" s="401"/>
      <c r="D91" s="406"/>
    </row>
    <row r="92" spans="1:4" x14ac:dyDescent="0.25">
      <c r="A92" s="338"/>
      <c r="B92" s="338"/>
      <c r="C92" s="401"/>
      <c r="D92" s="406"/>
    </row>
    <row r="93" spans="1:4" x14ac:dyDescent="0.25">
      <c r="A93" s="338"/>
      <c r="B93" s="338"/>
      <c r="C93" s="401"/>
      <c r="D93" s="406"/>
    </row>
    <row r="94" spans="1:4" x14ac:dyDescent="0.25">
      <c r="A94" s="338"/>
      <c r="B94" s="338"/>
      <c r="C94" s="401"/>
      <c r="D94" s="406"/>
    </row>
    <row r="95" spans="1:4" x14ac:dyDescent="0.25">
      <c r="A95" s="338"/>
      <c r="B95" s="338"/>
      <c r="C95" s="401"/>
      <c r="D95" s="406"/>
    </row>
    <row r="96" spans="1:4" x14ac:dyDescent="0.25">
      <c r="A96" s="338"/>
      <c r="B96" s="338"/>
      <c r="C96" s="401"/>
      <c r="D96" s="406"/>
    </row>
    <row r="97" spans="1:4" x14ac:dyDescent="0.25">
      <c r="A97" s="338"/>
      <c r="B97" s="338"/>
      <c r="C97" s="401"/>
      <c r="D97" s="406"/>
    </row>
    <row r="98" spans="1:4" ht="15.75" thickBot="1" x14ac:dyDescent="0.3">
      <c r="A98" s="321"/>
      <c r="B98" s="321"/>
      <c r="C98" s="402"/>
      <c r="D98" s="407"/>
    </row>
    <row r="99" spans="1:4" ht="14.45" customHeight="1" x14ac:dyDescent="0.25">
      <c r="A99" s="340"/>
      <c r="B99" s="340"/>
      <c r="C99" s="404" t="s">
        <v>858</v>
      </c>
      <c r="D99" s="406" t="s">
        <v>859</v>
      </c>
    </row>
    <row r="100" spans="1:4" x14ac:dyDescent="0.25">
      <c r="A100" s="340"/>
      <c r="B100" s="340"/>
      <c r="C100" s="404"/>
      <c r="D100" s="406"/>
    </row>
    <row r="101" spans="1:4" x14ac:dyDescent="0.25">
      <c r="A101" s="340"/>
      <c r="B101" s="340"/>
      <c r="C101" s="404"/>
      <c r="D101" s="406"/>
    </row>
    <row r="102" spans="1:4" x14ac:dyDescent="0.25">
      <c r="A102" s="340"/>
      <c r="B102" s="340"/>
      <c r="C102" s="404"/>
      <c r="D102" s="406"/>
    </row>
    <row r="103" spans="1:4" x14ac:dyDescent="0.25">
      <c r="A103" s="340"/>
      <c r="B103" s="340"/>
      <c r="C103" s="404"/>
      <c r="D103" s="406"/>
    </row>
    <row r="104" spans="1:4" x14ac:dyDescent="0.25">
      <c r="A104" s="340"/>
      <c r="B104" s="340"/>
      <c r="C104" s="404"/>
      <c r="D104" s="406"/>
    </row>
    <row r="105" spans="1:4" x14ac:dyDescent="0.25">
      <c r="A105" s="340"/>
      <c r="B105" s="340"/>
      <c r="C105" s="404"/>
      <c r="D105" s="406"/>
    </row>
    <row r="106" spans="1:4" x14ac:dyDescent="0.25">
      <c r="A106" s="340"/>
      <c r="B106" s="340"/>
      <c r="C106" s="404"/>
      <c r="D106" s="406"/>
    </row>
    <row r="107" spans="1:4" x14ac:dyDescent="0.25">
      <c r="A107" s="340"/>
      <c r="B107" s="340"/>
      <c r="C107" s="404"/>
      <c r="D107" s="406"/>
    </row>
    <row r="108" spans="1:4" x14ac:dyDescent="0.25">
      <c r="A108" s="340"/>
      <c r="B108" s="340"/>
      <c r="C108" s="404"/>
      <c r="D108" s="406"/>
    </row>
    <row r="109" spans="1:4" x14ac:dyDescent="0.25">
      <c r="A109" s="340"/>
      <c r="B109" s="340"/>
      <c r="C109" s="404"/>
      <c r="D109" s="406"/>
    </row>
    <row r="110" spans="1:4" x14ac:dyDescent="0.25">
      <c r="A110" s="340"/>
      <c r="B110" s="340"/>
      <c r="C110" s="404"/>
      <c r="D110" s="406"/>
    </row>
    <row r="111" spans="1:4" ht="15.75" thickBot="1" x14ac:dyDescent="0.3">
      <c r="A111" s="322"/>
      <c r="B111" s="322"/>
      <c r="C111" s="405"/>
      <c r="D111" s="407"/>
    </row>
    <row r="112" spans="1:4" x14ac:dyDescent="0.25">
      <c r="A112" s="336"/>
      <c r="B112" s="336"/>
      <c r="C112" s="401" t="s">
        <v>860</v>
      </c>
      <c r="D112" s="406" t="s">
        <v>861</v>
      </c>
    </row>
    <row r="113" spans="1:4" x14ac:dyDescent="0.25">
      <c r="A113" s="336"/>
      <c r="B113" s="336"/>
      <c r="C113" s="401"/>
      <c r="D113" s="406"/>
    </row>
    <row r="114" spans="1:4" x14ac:dyDescent="0.25">
      <c r="A114" s="336"/>
      <c r="B114" s="336"/>
      <c r="C114" s="401"/>
      <c r="D114" s="406"/>
    </row>
    <row r="115" spans="1:4" x14ac:dyDescent="0.25">
      <c r="A115" s="336"/>
      <c r="B115" s="336"/>
      <c r="C115" s="401"/>
      <c r="D115" s="406"/>
    </row>
    <row r="116" spans="1:4" x14ac:dyDescent="0.25">
      <c r="A116" s="336"/>
      <c r="B116" s="336"/>
      <c r="C116" s="401"/>
      <c r="D116" s="406"/>
    </row>
    <row r="117" spans="1:4" x14ac:dyDescent="0.25">
      <c r="A117" s="336"/>
      <c r="B117" s="336"/>
      <c r="C117" s="401"/>
      <c r="D117" s="406"/>
    </row>
    <row r="118" spans="1:4" x14ac:dyDescent="0.25">
      <c r="A118" s="336"/>
      <c r="B118" s="336"/>
      <c r="C118" s="401"/>
      <c r="D118" s="406"/>
    </row>
    <row r="119" spans="1:4" x14ac:dyDescent="0.25">
      <c r="A119" s="336"/>
      <c r="B119" s="336"/>
      <c r="C119" s="401"/>
      <c r="D119" s="406"/>
    </row>
    <row r="120" spans="1:4" x14ac:dyDescent="0.25">
      <c r="A120" s="336"/>
      <c r="B120" s="336"/>
      <c r="C120" s="401"/>
      <c r="D120" s="406"/>
    </row>
    <row r="121" spans="1:4" x14ac:dyDescent="0.25">
      <c r="A121" s="336"/>
      <c r="B121" s="336"/>
      <c r="C121" s="401"/>
      <c r="D121" s="406"/>
    </row>
    <row r="122" spans="1:4" x14ac:dyDescent="0.25">
      <c r="A122" s="336"/>
      <c r="B122" s="336"/>
      <c r="C122" s="401"/>
      <c r="D122" s="406"/>
    </row>
    <row r="123" spans="1:4" ht="15.75" thickBot="1" x14ac:dyDescent="0.3">
      <c r="A123" s="317"/>
      <c r="B123" s="317"/>
      <c r="C123" s="402"/>
      <c r="D123" s="407"/>
    </row>
    <row r="124" spans="1:4" x14ac:dyDescent="0.25">
      <c r="A124" s="335"/>
      <c r="B124" s="335"/>
      <c r="C124" s="401" t="s">
        <v>862</v>
      </c>
      <c r="D124" s="406" t="s">
        <v>863</v>
      </c>
    </row>
    <row r="125" spans="1:4" x14ac:dyDescent="0.25">
      <c r="A125" s="335"/>
      <c r="B125" s="335"/>
      <c r="C125" s="401"/>
      <c r="D125" s="406"/>
    </row>
    <row r="126" spans="1:4" x14ac:dyDescent="0.25">
      <c r="A126" s="335"/>
      <c r="B126" s="335"/>
      <c r="C126" s="401"/>
      <c r="D126" s="406"/>
    </row>
    <row r="127" spans="1:4" x14ac:dyDescent="0.25">
      <c r="A127" s="335"/>
      <c r="B127" s="335"/>
      <c r="C127" s="401"/>
      <c r="D127" s="406"/>
    </row>
    <row r="128" spans="1:4" x14ac:dyDescent="0.25">
      <c r="A128" s="335"/>
      <c r="B128" s="335"/>
      <c r="C128" s="401"/>
      <c r="D128" s="406"/>
    </row>
    <row r="129" spans="1:4" ht="15.75" thickBot="1" x14ac:dyDescent="0.3">
      <c r="A129" s="318"/>
      <c r="B129" s="318"/>
      <c r="C129" s="402"/>
      <c r="D129" s="407"/>
    </row>
    <row r="130" spans="1:4" ht="14.45" customHeight="1" x14ac:dyDescent="0.25">
      <c r="A130" s="33"/>
      <c r="B130" s="33"/>
      <c r="C130" s="401" t="s">
        <v>864</v>
      </c>
      <c r="D130" s="406" t="s">
        <v>865</v>
      </c>
    </row>
    <row r="131" spans="1:4" x14ac:dyDescent="0.25">
      <c r="A131" s="33"/>
      <c r="B131" s="33"/>
      <c r="C131" s="401"/>
      <c r="D131" s="406"/>
    </row>
    <row r="132" spans="1:4" x14ac:dyDescent="0.25">
      <c r="A132" s="33"/>
      <c r="B132" s="33"/>
      <c r="C132" s="401"/>
      <c r="D132" s="406"/>
    </row>
    <row r="133" spans="1:4" ht="15.75" thickBot="1" x14ac:dyDescent="0.3">
      <c r="A133" s="323"/>
      <c r="B133" s="323"/>
      <c r="C133" s="402"/>
      <c r="D133" s="407"/>
    </row>
    <row r="134" spans="1:4" x14ac:dyDescent="0.25">
      <c r="A134" s="339"/>
      <c r="B134" s="339"/>
      <c r="C134" s="401" t="s">
        <v>866</v>
      </c>
      <c r="D134" s="406" t="s">
        <v>867</v>
      </c>
    </row>
    <row r="135" spans="1:4" x14ac:dyDescent="0.25">
      <c r="A135" s="339"/>
      <c r="B135" s="339"/>
      <c r="C135" s="401"/>
      <c r="D135" s="406"/>
    </row>
    <row r="136" spans="1:4" x14ac:dyDescent="0.25">
      <c r="A136" s="339"/>
      <c r="B136" s="339"/>
      <c r="C136" s="401"/>
      <c r="D136" s="406"/>
    </row>
    <row r="137" spans="1:4" x14ac:dyDescent="0.25">
      <c r="A137" s="339"/>
      <c r="B137" s="339"/>
      <c r="C137" s="401"/>
      <c r="D137" s="406"/>
    </row>
    <row r="138" spans="1:4" x14ac:dyDescent="0.25">
      <c r="A138" s="339"/>
      <c r="B138" s="339"/>
      <c r="C138" s="401"/>
      <c r="D138" s="406"/>
    </row>
    <row r="139" spans="1:4" x14ac:dyDescent="0.25">
      <c r="A139" s="339"/>
      <c r="B139" s="339"/>
      <c r="C139" s="401"/>
      <c r="D139" s="406"/>
    </row>
    <row r="140" spans="1:4" x14ac:dyDescent="0.25">
      <c r="A140" s="339"/>
      <c r="B140" s="339"/>
      <c r="C140" s="401"/>
      <c r="D140" s="406"/>
    </row>
    <row r="141" spans="1:4" x14ac:dyDescent="0.25">
      <c r="A141" s="339"/>
      <c r="B141" s="339"/>
      <c r="C141" s="401"/>
      <c r="D141" s="406"/>
    </row>
    <row r="142" spans="1:4" x14ac:dyDescent="0.25">
      <c r="A142" s="339"/>
      <c r="B142" s="339"/>
      <c r="C142" s="401"/>
      <c r="D142" s="406"/>
    </row>
    <row r="143" spans="1:4" x14ac:dyDescent="0.25">
      <c r="A143" s="339"/>
      <c r="B143" s="339"/>
      <c r="C143" s="401"/>
      <c r="D143" s="406"/>
    </row>
    <row r="144" spans="1:4" x14ac:dyDescent="0.25">
      <c r="A144" s="339"/>
      <c r="B144" s="339"/>
      <c r="C144" s="401"/>
      <c r="D144" s="406"/>
    </row>
    <row r="145" spans="1:4" x14ac:dyDescent="0.25">
      <c r="A145" s="339"/>
      <c r="B145" s="339"/>
      <c r="C145" s="401"/>
      <c r="D145" s="406"/>
    </row>
    <row r="146" spans="1:4" x14ac:dyDescent="0.25">
      <c r="A146" s="339"/>
      <c r="B146" s="339"/>
      <c r="C146" s="401"/>
      <c r="D146" s="406"/>
    </row>
    <row r="147" spans="1:4" x14ac:dyDescent="0.25">
      <c r="A147" s="339"/>
      <c r="B147" s="339"/>
      <c r="C147" s="401"/>
      <c r="D147" s="406"/>
    </row>
    <row r="148" spans="1:4" x14ac:dyDescent="0.25">
      <c r="A148" s="339"/>
      <c r="B148" s="339"/>
      <c r="C148" s="401"/>
      <c r="D148" s="406"/>
    </row>
    <row r="149" spans="1:4" x14ac:dyDescent="0.25">
      <c r="A149" s="339"/>
      <c r="B149" s="339"/>
      <c r="C149" s="401"/>
      <c r="D149" s="406"/>
    </row>
    <row r="150" spans="1:4" ht="15" customHeight="1" x14ac:dyDescent="0.25">
      <c r="A150" s="339"/>
      <c r="B150" s="339"/>
      <c r="C150" s="401"/>
      <c r="D150" s="406"/>
    </row>
    <row r="151" spans="1:4" ht="15" customHeight="1" thickBot="1" x14ac:dyDescent="0.3">
      <c r="A151" s="320"/>
      <c r="B151" s="320"/>
      <c r="C151" s="402"/>
      <c r="D151" s="407"/>
    </row>
    <row r="152" spans="1:4" ht="15" customHeight="1" x14ac:dyDescent="0.25">
      <c r="A152" s="341"/>
      <c r="B152" s="341"/>
      <c r="C152" s="401" t="s">
        <v>868</v>
      </c>
      <c r="D152" s="406" t="s">
        <v>869</v>
      </c>
    </row>
    <row r="153" spans="1:4" ht="15" customHeight="1" x14ac:dyDescent="0.25">
      <c r="A153" s="341"/>
      <c r="B153" s="341"/>
      <c r="C153" s="401"/>
      <c r="D153" s="406"/>
    </row>
    <row r="154" spans="1:4" ht="15" customHeight="1" x14ac:dyDescent="0.25">
      <c r="A154" s="341"/>
      <c r="B154" s="341"/>
      <c r="C154" s="401"/>
      <c r="D154" s="406"/>
    </row>
    <row r="155" spans="1:4" ht="15" customHeight="1" thickBot="1" x14ac:dyDescent="0.3">
      <c r="A155" s="324"/>
      <c r="B155" s="324"/>
      <c r="C155" s="402"/>
      <c r="D155" s="407"/>
    </row>
  </sheetData>
  <sheetProtection sheet="1" objects="1" scenarios="1"/>
  <mergeCells count="24">
    <mergeCell ref="C2:C17"/>
    <mergeCell ref="D2:D17"/>
    <mergeCell ref="C18:C37"/>
    <mergeCell ref="D18:D37"/>
    <mergeCell ref="C38:C57"/>
    <mergeCell ref="D38:D57"/>
    <mergeCell ref="C58:C72"/>
    <mergeCell ref="D58:D72"/>
    <mergeCell ref="C73:C89"/>
    <mergeCell ref="D73:D89"/>
    <mergeCell ref="C90:C98"/>
    <mergeCell ref="D90:D98"/>
    <mergeCell ref="C99:C111"/>
    <mergeCell ref="D99:D111"/>
    <mergeCell ref="C112:C123"/>
    <mergeCell ref="D112:D123"/>
    <mergeCell ref="C124:C129"/>
    <mergeCell ref="D124:D129"/>
    <mergeCell ref="C130:C133"/>
    <mergeCell ref="D130:D133"/>
    <mergeCell ref="C134:C151"/>
    <mergeCell ref="D134:D151"/>
    <mergeCell ref="C152:C155"/>
    <mergeCell ref="D152:D155"/>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2525E"/>
  </sheetPr>
  <dimension ref="A1:D88"/>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1" customWidth="1"/>
    <col min="4" max="4" width="127.7109375" style="144" customWidth="1"/>
  </cols>
  <sheetData>
    <row r="1" spans="1:4" ht="15.75" thickBot="1" x14ac:dyDescent="0.3">
      <c r="A1" s="330" t="s">
        <v>89</v>
      </c>
      <c r="B1" s="315" t="s">
        <v>92</v>
      </c>
      <c r="C1" s="343" t="s">
        <v>480</v>
      </c>
      <c r="D1" s="344" t="s">
        <v>0</v>
      </c>
    </row>
    <row r="2" spans="1:4" ht="15.75" thickBot="1" x14ac:dyDescent="0.3">
      <c r="A2" s="128">
        <v>4001</v>
      </c>
      <c r="B2" s="205" t="str">
        <f>'Custom cases'!D3</f>
        <v>Custom_RfG_MaxFacilityCurrent</v>
      </c>
      <c r="C2" s="142" t="s">
        <v>508</v>
      </c>
      <c r="D2" s="190" t="s">
        <v>536</v>
      </c>
    </row>
    <row r="3" spans="1:4" x14ac:dyDescent="0.25">
      <c r="A3" s="217">
        <v>4002</v>
      </c>
      <c r="B3" s="218" t="str">
        <f>'Custom cases'!D4</f>
        <v>Custom_RfG_Fault_3_FRTtrig_0.87pu</v>
      </c>
      <c r="C3" s="400" t="s">
        <v>510</v>
      </c>
      <c r="D3" s="203" t="s">
        <v>10</v>
      </c>
    </row>
    <row r="4" spans="1:4" x14ac:dyDescent="0.25">
      <c r="A4" s="217">
        <v>4003</v>
      </c>
      <c r="B4" s="218" t="str">
        <f>'Custom cases'!D5</f>
        <v>Custom_RfG_Fault_3_FRTtrig_0.86pu</v>
      </c>
      <c r="C4" s="401"/>
      <c r="D4" s="203" t="s">
        <v>10</v>
      </c>
    </row>
    <row r="5" spans="1:4" ht="45" x14ac:dyDescent="0.25">
      <c r="A5" s="217">
        <v>4004</v>
      </c>
      <c r="B5" s="218" t="str">
        <f>'Custom cases'!D6</f>
        <v>Custom_RfG_Fault_3_FRTtrig_0.85pu</v>
      </c>
      <c r="C5" s="401"/>
      <c r="D5" s="139" t="s">
        <v>512</v>
      </c>
    </row>
    <row r="6" spans="1:4" x14ac:dyDescent="0.25">
      <c r="A6" s="217">
        <v>4005</v>
      </c>
      <c r="B6" s="218" t="str">
        <f>'Custom cases'!D7</f>
        <v>Custom_RfG_Fault_3_FRTtrig_0.84pu</v>
      </c>
      <c r="C6" s="401"/>
      <c r="D6" s="203" t="s">
        <v>10</v>
      </c>
    </row>
    <row r="7" spans="1:4" x14ac:dyDescent="0.25">
      <c r="A7" s="217">
        <v>4006</v>
      </c>
      <c r="B7" s="218" t="str">
        <f>'Custom cases'!D8</f>
        <v>Custom_RfG_Fault_3_FRTtrig_0.83pu</v>
      </c>
      <c r="C7" s="401"/>
      <c r="D7" s="203" t="s">
        <v>10</v>
      </c>
    </row>
    <row r="8" spans="1:4" x14ac:dyDescent="0.25">
      <c r="A8" s="217">
        <v>4007</v>
      </c>
      <c r="B8" s="218" t="str">
        <f>'Custom cases'!D9</f>
        <v>Custom_RfG_Fault_3_FRTtrig_0.82pu</v>
      </c>
      <c r="C8" s="401"/>
      <c r="D8" s="203" t="s">
        <v>10</v>
      </c>
    </row>
    <row r="9" spans="1:4" x14ac:dyDescent="0.25">
      <c r="A9" s="217">
        <v>4008</v>
      </c>
      <c r="B9" s="218" t="str">
        <f>'Custom cases'!D10</f>
        <v>Custom_RfG_Fault_3_FRTtrig_0.81pu</v>
      </c>
      <c r="C9" s="401"/>
      <c r="D9" s="203" t="s">
        <v>10</v>
      </c>
    </row>
    <row r="10" spans="1:4" x14ac:dyDescent="0.25">
      <c r="A10" s="217">
        <v>4009</v>
      </c>
      <c r="B10" s="218" t="str">
        <f>'Custom cases'!D11</f>
        <v>Custom_RfG_Fault_3_FRTtrig_0.80pu</v>
      </c>
      <c r="C10" s="401"/>
      <c r="D10" s="203" t="s">
        <v>10</v>
      </c>
    </row>
    <row r="11" spans="1:4" x14ac:dyDescent="0.25">
      <c r="A11" s="217">
        <v>4010</v>
      </c>
      <c r="B11" s="218" t="str">
        <f>'Custom cases'!D12</f>
        <v>Custom_RfG_Fault_3_FRTtrig_0.79pu</v>
      </c>
      <c r="C11" s="401"/>
      <c r="D11" s="203" t="s">
        <v>10</v>
      </c>
    </row>
    <row r="12" spans="1:4" ht="15.75" thickBot="1" x14ac:dyDescent="0.3">
      <c r="A12" s="219">
        <v>4011</v>
      </c>
      <c r="B12" s="220" t="str">
        <f>'Custom cases'!D13</f>
        <v>Custom_RfG_Fault_3_FRTtrig_0.78pu</v>
      </c>
      <c r="C12" s="402"/>
      <c r="D12" s="204" t="s">
        <v>10</v>
      </c>
    </row>
    <row r="13" spans="1:4" x14ac:dyDescent="0.25">
      <c r="A13" s="193">
        <v>4012</v>
      </c>
      <c r="B13" s="209" t="str">
        <f>'Custom cases'!D14</f>
        <v>Custom_RfG_LVRT_FRTexit_0.84pu</v>
      </c>
      <c r="C13" s="400" t="s">
        <v>509</v>
      </c>
      <c r="D13" s="203" t="s">
        <v>10</v>
      </c>
    </row>
    <row r="14" spans="1:4" ht="30" x14ac:dyDescent="0.25">
      <c r="A14" s="193">
        <v>4013</v>
      </c>
      <c r="B14" s="209" t="str">
        <f>'Custom cases'!D15</f>
        <v>Custom_RfG_LVRT_FRTexit_0.85pu</v>
      </c>
      <c r="C14" s="401"/>
      <c r="D14" s="139" t="s">
        <v>511</v>
      </c>
    </row>
    <row r="15" spans="1:4" x14ac:dyDescent="0.25">
      <c r="A15" s="193">
        <v>4014</v>
      </c>
      <c r="B15" s="209" t="str">
        <f>'Custom cases'!D16</f>
        <v>Custom_RfG_LVRT_FRTexit_0.86pu</v>
      </c>
      <c r="C15" s="401"/>
      <c r="D15" s="203" t="s">
        <v>10</v>
      </c>
    </row>
    <row r="16" spans="1:4" x14ac:dyDescent="0.25">
      <c r="A16" s="193">
        <v>4015</v>
      </c>
      <c r="B16" s="209" t="str">
        <f>'Custom cases'!D17</f>
        <v>Custom_RfG_LVRT_FRTexit_0.87pu</v>
      </c>
      <c r="C16" s="401"/>
      <c r="D16" s="203" t="s">
        <v>10</v>
      </c>
    </row>
    <row r="17" spans="1:4" x14ac:dyDescent="0.25">
      <c r="A17" s="193">
        <v>4016</v>
      </c>
      <c r="B17" s="209" t="str">
        <f>'Custom cases'!D18</f>
        <v>Custom_RfG_LVRT_FRTexit_0.88pu</v>
      </c>
      <c r="C17" s="401"/>
      <c r="D17" s="203" t="s">
        <v>10</v>
      </c>
    </row>
    <row r="18" spans="1:4" ht="15.75" thickBot="1" x14ac:dyDescent="0.3">
      <c r="A18" s="202">
        <v>4017</v>
      </c>
      <c r="B18" s="210" t="str">
        <f>'Custom cases'!D19</f>
        <v>Custom_RfG_LVRT_FRTexit_0.89pu</v>
      </c>
      <c r="C18" s="402"/>
      <c r="D18" s="204" t="s">
        <v>10</v>
      </c>
    </row>
    <row r="19" spans="1:4" x14ac:dyDescent="0.25">
      <c r="A19" s="211">
        <v>4018</v>
      </c>
      <c r="B19" s="212" t="str">
        <f>'Custom cases'!D20</f>
        <v>Custom_RfG_Fault_3_MaxIQ_0.24pu</v>
      </c>
      <c r="C19" s="400" t="s">
        <v>538</v>
      </c>
      <c r="D19" s="203" t="s">
        <v>10</v>
      </c>
    </row>
    <row r="20" spans="1:4" x14ac:dyDescent="0.25">
      <c r="A20" s="211">
        <v>4019</v>
      </c>
      <c r="B20" s="212" t="str">
        <f>'Custom cases'!D21</f>
        <v>Custom_RfG_Fault_3_MaxIQ_0.23pu</v>
      </c>
      <c r="C20" s="401"/>
      <c r="D20" s="203" t="s">
        <v>10</v>
      </c>
    </row>
    <row r="21" spans="1:4" x14ac:dyDescent="0.25">
      <c r="A21" s="211">
        <v>4020</v>
      </c>
      <c r="B21" s="212" t="str">
        <f>'Custom cases'!D22</f>
        <v>Custom_RfG_Fault_3_MaxIQ_0.22pu</v>
      </c>
      <c r="C21" s="401"/>
      <c r="D21" s="203" t="s">
        <v>10</v>
      </c>
    </row>
    <row r="22" spans="1:4" x14ac:dyDescent="0.25">
      <c r="A22" s="211">
        <v>4021</v>
      </c>
      <c r="B22" s="212" t="str">
        <f>'Custom cases'!D23</f>
        <v>Custom_RfG_Fault_3_MaxIQ_0.21pu</v>
      </c>
      <c r="C22" s="401"/>
      <c r="D22" s="203" t="s">
        <v>10</v>
      </c>
    </row>
    <row r="23" spans="1:4" ht="75" x14ac:dyDescent="0.25">
      <c r="A23" s="211">
        <v>4022</v>
      </c>
      <c r="B23" s="212" t="str">
        <f>'Custom cases'!D24</f>
        <v>Custom_RfG_Fault_3_MaxIQ_0.20pu</v>
      </c>
      <c r="C23" s="401"/>
      <c r="D23" s="139" t="s">
        <v>539</v>
      </c>
    </row>
    <row r="24" spans="1:4" x14ac:dyDescent="0.25">
      <c r="A24" s="211">
        <v>4023</v>
      </c>
      <c r="B24" s="212" t="str">
        <f>'Custom cases'!D25</f>
        <v>Custom_RfG_Fault_3_MaxIQ_0.19pu</v>
      </c>
      <c r="C24" s="401"/>
      <c r="D24" s="203" t="s">
        <v>10</v>
      </c>
    </row>
    <row r="25" spans="1:4" x14ac:dyDescent="0.25">
      <c r="A25" s="211">
        <v>4024</v>
      </c>
      <c r="B25" s="212" t="str">
        <f>'Custom cases'!D26</f>
        <v>Custom_RfG_Fault_3_MaxIQ_0.18pu</v>
      </c>
      <c r="C25" s="401"/>
      <c r="D25" s="203" t="s">
        <v>10</v>
      </c>
    </row>
    <row r="26" spans="1:4" x14ac:dyDescent="0.25">
      <c r="A26" s="211">
        <v>4025</v>
      </c>
      <c r="B26" s="212" t="str">
        <f>'Custom cases'!D27</f>
        <v>Custom_RfG_Fault_3_MaxIQ_0.17pu</v>
      </c>
      <c r="C26" s="401"/>
      <c r="D26" s="203" t="s">
        <v>10</v>
      </c>
    </row>
    <row r="27" spans="1:4" x14ac:dyDescent="0.25">
      <c r="A27" s="211">
        <v>4026</v>
      </c>
      <c r="B27" s="212" t="str">
        <f>'Custom cases'!D28</f>
        <v>Custom_RfG_Fault_3_MaxIQ_0.16pu</v>
      </c>
      <c r="C27" s="401"/>
      <c r="D27" s="203" t="s">
        <v>10</v>
      </c>
    </row>
    <row r="28" spans="1:4" ht="15.75" thickBot="1" x14ac:dyDescent="0.3">
      <c r="A28" s="213">
        <v>4027</v>
      </c>
      <c r="B28" s="214" t="str">
        <f>'Custom cases'!D29</f>
        <v>Custom_RfG_Fault_3_MaxIQ_0.15pu</v>
      </c>
      <c r="C28" s="402"/>
      <c r="D28" s="204" t="s">
        <v>10</v>
      </c>
    </row>
    <row r="29" spans="1:4" ht="30" x14ac:dyDescent="0.25">
      <c r="A29" s="193">
        <v>4028</v>
      </c>
      <c r="B29" s="209" t="str">
        <f>'Custom cases'!D30</f>
        <v>Custom_RfG_Fault_3_0.2pu_Plim_0.5pu</v>
      </c>
      <c r="C29" s="400" t="s">
        <v>513</v>
      </c>
      <c r="D29" s="139" t="s">
        <v>537</v>
      </c>
    </row>
    <row r="30" spans="1:4" x14ac:dyDescent="0.25">
      <c r="A30" s="193">
        <v>4029</v>
      </c>
      <c r="B30" s="209" t="str">
        <f>'Custom cases'!D31</f>
        <v>Custom_RfG_Fault_2_0.2pu_Plim_0.5pu</v>
      </c>
      <c r="C30" s="401"/>
      <c r="D30" s="203" t="s">
        <v>10</v>
      </c>
    </row>
    <row r="31" spans="1:4" x14ac:dyDescent="0.25">
      <c r="A31" s="193">
        <v>4030</v>
      </c>
      <c r="B31" s="209" t="str">
        <f>'Custom cases'!D32</f>
        <v>Custom_RfG_Fault_1_0.2pu_Plim_0.5pu</v>
      </c>
      <c r="C31" s="401"/>
      <c r="D31" s="203" t="s">
        <v>10</v>
      </c>
    </row>
    <row r="32" spans="1:4" ht="30" x14ac:dyDescent="0.25">
      <c r="A32" s="193">
        <v>4031</v>
      </c>
      <c r="B32" s="209" t="str">
        <f>'Custom cases'!D33</f>
        <v>Custom_RfG_Fault_3_0.2pu_Plim_0.15pu</v>
      </c>
      <c r="C32" s="401"/>
      <c r="D32" s="139" t="s">
        <v>514</v>
      </c>
    </row>
    <row r="33" spans="1:4" x14ac:dyDescent="0.25">
      <c r="A33" s="193">
        <v>4032</v>
      </c>
      <c r="B33" s="209" t="str">
        <f>'Custom cases'!D34</f>
        <v>Custom_RfG_Fault_2_0.2pu_Plim_0.15pu</v>
      </c>
      <c r="C33" s="401"/>
      <c r="D33" s="203" t="s">
        <v>10</v>
      </c>
    </row>
    <row r="34" spans="1:4" ht="15.75" thickBot="1" x14ac:dyDescent="0.3">
      <c r="A34" s="202">
        <v>4033</v>
      </c>
      <c r="B34" s="210" t="str">
        <f>'Custom cases'!D35</f>
        <v>Custom_RfG_Fault_1_0.2pu_Plim_0.15pu</v>
      </c>
      <c r="C34" s="402"/>
      <c r="D34" s="204" t="s">
        <v>10</v>
      </c>
    </row>
    <row r="35" spans="1:4" x14ac:dyDescent="0.25">
      <c r="A35" s="138">
        <v>4034</v>
      </c>
      <c r="B35" s="215" t="str">
        <f>'Custom cases'!D36</f>
        <v>Custom_RfG_Ucontrol_Plim_1.00pu</v>
      </c>
      <c r="C35" s="400" t="s">
        <v>518</v>
      </c>
      <c r="D35" s="139" t="s">
        <v>516</v>
      </c>
    </row>
    <row r="36" spans="1:4" x14ac:dyDescent="0.25">
      <c r="A36" s="138">
        <v>4035</v>
      </c>
      <c r="B36" s="215" t="str">
        <f>'Custom cases'!D37</f>
        <v>Custom_RfG_Ucontrol_Plim_0.50pu</v>
      </c>
      <c r="C36" s="401"/>
      <c r="D36" s="139" t="s">
        <v>515</v>
      </c>
    </row>
    <row r="37" spans="1:4" ht="15.75" thickBot="1" x14ac:dyDescent="0.3">
      <c r="A37" s="178">
        <v>4036</v>
      </c>
      <c r="B37" s="216" t="str">
        <f>'Custom cases'!D38</f>
        <v>Custom_RfG_Ucontrol_Plim_0.15pu</v>
      </c>
      <c r="C37" s="402"/>
      <c r="D37" s="143" t="s">
        <v>517</v>
      </c>
    </row>
    <row r="38" spans="1:4" ht="15" customHeight="1" x14ac:dyDescent="0.25">
      <c r="A38" s="230">
        <v>4037</v>
      </c>
      <c r="B38" s="231" t="str">
        <f>'Custom cases'!D39</f>
        <v>Custom_Fault_3_0.20pu_U0_1.118pu</v>
      </c>
      <c r="C38" s="400" t="s">
        <v>528</v>
      </c>
      <c r="D38" s="146" t="s">
        <v>519</v>
      </c>
    </row>
    <row r="39" spans="1:4" x14ac:dyDescent="0.25">
      <c r="A39" s="232">
        <v>4038</v>
      </c>
      <c r="B39" s="233" t="str">
        <f>'Custom cases'!D40</f>
        <v>Custom_Fault_2_0.20pu_U0_1.118pu</v>
      </c>
      <c r="C39" s="401"/>
      <c r="D39" s="203" t="s">
        <v>10</v>
      </c>
    </row>
    <row r="40" spans="1:4" x14ac:dyDescent="0.25">
      <c r="A40" s="232">
        <v>4039</v>
      </c>
      <c r="B40" s="233" t="str">
        <f>'Custom cases'!D41</f>
        <v>Custom_Fault_1_0.20pu_U0_1.118pu</v>
      </c>
      <c r="C40" s="401"/>
      <c r="D40" s="203" t="s">
        <v>10</v>
      </c>
    </row>
    <row r="41" spans="1:4" ht="30" x14ac:dyDescent="0.25">
      <c r="A41" s="232">
        <v>4040</v>
      </c>
      <c r="B41" s="233" t="str">
        <f>'Custom cases'!D42</f>
        <v>Custom_Fault_3_0.20pu_U0_0.968pu</v>
      </c>
      <c r="C41" s="401"/>
      <c r="D41" s="139" t="s">
        <v>520</v>
      </c>
    </row>
    <row r="42" spans="1:4" x14ac:dyDescent="0.25">
      <c r="A42" s="232">
        <v>4041</v>
      </c>
      <c r="B42" s="233" t="str">
        <f>'Custom cases'!D43</f>
        <v>Custom_Fault_2_0.20pu_U0_0.968pu</v>
      </c>
      <c r="C42" s="401"/>
      <c r="D42" s="203" t="s">
        <v>10</v>
      </c>
    </row>
    <row r="43" spans="1:4" ht="15.75" thickBot="1" x14ac:dyDescent="0.3">
      <c r="A43" s="234">
        <v>4042</v>
      </c>
      <c r="B43" s="235" t="str">
        <f>'Custom cases'!D44</f>
        <v>Custom_Fault_1_0.20pu_U0_0.968pu</v>
      </c>
      <c r="C43" s="402"/>
      <c r="D43" s="204" t="s">
        <v>10</v>
      </c>
    </row>
    <row r="44" spans="1:4" ht="30" x14ac:dyDescent="0.25">
      <c r="A44" s="132">
        <v>4043</v>
      </c>
      <c r="B44" s="229" t="str">
        <f>'Custom cases'!D45</f>
        <v>Custom_Fault_3_U0_1.118_Uend_0.020</v>
      </c>
      <c r="C44" s="400" t="s">
        <v>529</v>
      </c>
      <c r="D44" s="146" t="s">
        <v>522</v>
      </c>
    </row>
    <row r="45" spans="1:4" x14ac:dyDescent="0.25">
      <c r="A45" s="133">
        <v>4044</v>
      </c>
      <c r="B45" s="206" t="str">
        <f>'Custom cases'!D46</f>
        <v>Custom_Fault_2_U0_1.118_Uend_0.020</v>
      </c>
      <c r="C45" s="401"/>
      <c r="D45" s="203" t="s">
        <v>10</v>
      </c>
    </row>
    <row r="46" spans="1:4" x14ac:dyDescent="0.25">
      <c r="A46" s="133">
        <v>4045</v>
      </c>
      <c r="B46" s="206" t="str">
        <f>'Custom cases'!D47</f>
        <v>Custom_Fault_1_U0_1.118_Uend_0.020</v>
      </c>
      <c r="C46" s="401"/>
      <c r="D46" s="203" t="s">
        <v>10</v>
      </c>
    </row>
    <row r="47" spans="1:4" x14ac:dyDescent="0.25">
      <c r="A47" s="133">
        <v>4046</v>
      </c>
      <c r="B47" s="206" t="str">
        <f>'Custom cases'!D48</f>
        <v>Custom_Fault_3_U0_1.118_Uend_0.968</v>
      </c>
      <c r="C47" s="401"/>
      <c r="D47" s="203" t="s">
        <v>10</v>
      </c>
    </row>
    <row r="48" spans="1:4" ht="30" x14ac:dyDescent="0.25">
      <c r="A48" s="133">
        <v>4047</v>
      </c>
      <c r="B48" s="206" t="str">
        <f>'Custom cases'!D49</f>
        <v>Custom_Fault_3_U0_0.018_Uend_0.020</v>
      </c>
      <c r="C48" s="401"/>
      <c r="D48" s="139" t="s">
        <v>521</v>
      </c>
    </row>
    <row r="49" spans="1:4" x14ac:dyDescent="0.25">
      <c r="A49" s="133">
        <v>4048</v>
      </c>
      <c r="B49" s="206" t="str">
        <f>'Custom cases'!D50</f>
        <v>Custom_Fault_2_U0_0.018_Uend_0.020</v>
      </c>
      <c r="C49" s="401"/>
      <c r="D49" s="203" t="s">
        <v>10</v>
      </c>
    </row>
    <row r="50" spans="1:4" x14ac:dyDescent="0.25">
      <c r="A50" s="133">
        <v>4049</v>
      </c>
      <c r="B50" s="206" t="str">
        <f>'Custom cases'!D51</f>
        <v>Custom_Fault_1_U0_0.018_Uend_0.020</v>
      </c>
      <c r="C50" s="401"/>
      <c r="D50" s="203" t="s">
        <v>10</v>
      </c>
    </row>
    <row r="51" spans="1:4" x14ac:dyDescent="0.25">
      <c r="A51" s="133">
        <v>4050</v>
      </c>
      <c r="B51" s="206" t="str">
        <f>'Custom cases'!D52</f>
        <v>Custom_Fault_3_U0_0.018_Uend_1.118</v>
      </c>
      <c r="C51" s="401"/>
      <c r="D51" s="203" t="s">
        <v>10</v>
      </c>
    </row>
    <row r="52" spans="1:4" ht="30" x14ac:dyDescent="0.25">
      <c r="A52" s="133">
        <v>4051</v>
      </c>
      <c r="B52" s="206" t="str">
        <f>'Custom cases'!D53</f>
        <v>Custom_Fault_3_U0_1.118_Uend_0.900</v>
      </c>
      <c r="C52" s="401"/>
      <c r="D52" s="139" t="s">
        <v>523</v>
      </c>
    </row>
    <row r="53" spans="1:4" x14ac:dyDescent="0.25">
      <c r="A53" s="133">
        <v>4052</v>
      </c>
      <c r="B53" s="206" t="str">
        <f>'Custom cases'!D54</f>
        <v>Custom_Fault_3_U0_0.020_Uend_0.900</v>
      </c>
      <c r="C53" s="401"/>
      <c r="D53" s="203" t="s">
        <v>10</v>
      </c>
    </row>
    <row r="54" spans="1:4" ht="15.75" thickBot="1" x14ac:dyDescent="0.3">
      <c r="A54" s="207">
        <v>4053</v>
      </c>
      <c r="B54" s="208" t="str">
        <f>'Custom cases'!D55</f>
        <v>Custom_Fault_3_U0_0.018_Uend_0.900</v>
      </c>
      <c r="C54" s="402"/>
      <c r="D54" s="204" t="s">
        <v>10</v>
      </c>
    </row>
    <row r="55" spans="1:4" ht="15.6" customHeight="1" x14ac:dyDescent="0.25">
      <c r="A55" s="223">
        <v>4054</v>
      </c>
      <c r="B55" s="224" t="str">
        <f>'Custom cases'!D56</f>
        <v>Custom_Fault_3_U0_0.020pu_OVRT_1.15</v>
      </c>
      <c r="C55" s="400" t="s">
        <v>530</v>
      </c>
      <c r="D55" s="146" t="s">
        <v>525</v>
      </c>
    </row>
    <row r="56" spans="1:4" ht="15.6" customHeight="1" x14ac:dyDescent="0.25">
      <c r="A56" s="225">
        <v>4055</v>
      </c>
      <c r="B56" s="226" t="str">
        <f>'Custom cases'!D57</f>
        <v>Custom_Fault_3_U0_0.020pu_OVRT_1.20</v>
      </c>
      <c r="C56" s="401"/>
      <c r="D56" s="139" t="s">
        <v>525</v>
      </c>
    </row>
    <row r="57" spans="1:4" ht="30" x14ac:dyDescent="0.25">
      <c r="A57" s="225">
        <v>4056</v>
      </c>
      <c r="B57" s="226" t="str">
        <f>'Custom cases'!D58</f>
        <v>Custom_Fault_3_U0_0.020pu_OVRT_1.30</v>
      </c>
      <c r="C57" s="401"/>
      <c r="D57" s="139" t="s">
        <v>524</v>
      </c>
    </row>
    <row r="58" spans="1:4" x14ac:dyDescent="0.25">
      <c r="A58" s="225">
        <v>4057</v>
      </c>
      <c r="B58" s="226" t="str">
        <f>'Custom cases'!D59</f>
        <v>Custom_Fault_3_U0_0.020pu_OVRT_1.15</v>
      </c>
      <c r="C58" s="401"/>
      <c r="D58" s="139" t="s">
        <v>526</v>
      </c>
    </row>
    <row r="59" spans="1:4" x14ac:dyDescent="0.25">
      <c r="A59" s="225">
        <v>4058</v>
      </c>
      <c r="B59" s="226" t="str">
        <f>'Custom cases'!D60</f>
        <v>Custom_Fault_3_U0_0.020pu_OVRT_1.20</v>
      </c>
      <c r="C59" s="401"/>
      <c r="D59" s="139" t="s">
        <v>526</v>
      </c>
    </row>
    <row r="60" spans="1:4" ht="30.75" thickBot="1" x14ac:dyDescent="0.3">
      <c r="A60" s="227">
        <v>4059</v>
      </c>
      <c r="B60" s="228" t="str">
        <f>'Custom cases'!D61</f>
        <v>Custom_Fault_3_U0_0.020pu_OVRT_1.30</v>
      </c>
      <c r="C60" s="402"/>
      <c r="D60" s="143" t="s">
        <v>527</v>
      </c>
    </row>
    <row r="61" spans="1:4" x14ac:dyDescent="0.25">
      <c r="A61" s="221">
        <v>4060</v>
      </c>
      <c r="B61" s="222" t="str">
        <f>'Custom cases'!D62</f>
        <v>Custom_Fault_3_0.20pu_SCR_2</v>
      </c>
      <c r="C61" s="400" t="s">
        <v>531</v>
      </c>
      <c r="D61" s="146" t="s">
        <v>532</v>
      </c>
    </row>
    <row r="62" spans="1:4" x14ac:dyDescent="0.25">
      <c r="A62" s="217">
        <v>4061</v>
      </c>
      <c r="B62" s="218" t="str">
        <f>'Custom cases'!D63</f>
        <v>Custom_Fault_3_0.20pu_SCR_3</v>
      </c>
      <c r="C62" s="401"/>
      <c r="D62" s="203" t="s">
        <v>10</v>
      </c>
    </row>
    <row r="63" spans="1:4" x14ac:dyDescent="0.25">
      <c r="A63" s="217">
        <v>4062</v>
      </c>
      <c r="B63" s="218" t="str">
        <f>'Custom cases'!D64</f>
        <v>Custom_Fault_3_0.20pu_SCR_4</v>
      </c>
      <c r="C63" s="401"/>
      <c r="D63" s="203" t="s">
        <v>10</v>
      </c>
    </row>
    <row r="64" spans="1:4" x14ac:dyDescent="0.25">
      <c r="A64" s="217">
        <v>4063</v>
      </c>
      <c r="B64" s="218" t="str">
        <f>'Custom cases'!D65</f>
        <v>Custom_Fault_3_0.20pu_SCR_5</v>
      </c>
      <c r="C64" s="401"/>
      <c r="D64" s="203" t="s">
        <v>10</v>
      </c>
    </row>
    <row r="65" spans="1:4" x14ac:dyDescent="0.25">
      <c r="A65" s="217">
        <v>4064</v>
      </c>
      <c r="B65" s="218" t="str">
        <f>'Custom cases'!D66</f>
        <v>Custom_Fault_3_0.20pu_SCR_6</v>
      </c>
      <c r="C65" s="401"/>
      <c r="D65" s="203" t="s">
        <v>10</v>
      </c>
    </row>
    <row r="66" spans="1:4" x14ac:dyDescent="0.25">
      <c r="A66" s="217">
        <v>4065</v>
      </c>
      <c r="B66" s="218" t="str">
        <f>'Custom cases'!D67</f>
        <v>Custom_Fault_2_0.20pu_SCR_2</v>
      </c>
      <c r="C66" s="401"/>
      <c r="D66" s="203" t="s">
        <v>10</v>
      </c>
    </row>
    <row r="67" spans="1:4" x14ac:dyDescent="0.25">
      <c r="A67" s="217">
        <v>4066</v>
      </c>
      <c r="B67" s="218" t="str">
        <f>'Custom cases'!D68</f>
        <v>Custom_Fault_2_0.20pu_SCR_3</v>
      </c>
      <c r="C67" s="401"/>
      <c r="D67" s="203" t="s">
        <v>10</v>
      </c>
    </row>
    <row r="68" spans="1:4" x14ac:dyDescent="0.25">
      <c r="A68" s="217">
        <v>4067</v>
      </c>
      <c r="B68" s="218" t="str">
        <f>'Custom cases'!D69</f>
        <v>Custom_Fault_2_0.20pu_SCR_4</v>
      </c>
      <c r="C68" s="401"/>
      <c r="D68" s="203" t="s">
        <v>10</v>
      </c>
    </row>
    <row r="69" spans="1:4" x14ac:dyDescent="0.25">
      <c r="A69" s="217">
        <v>4068</v>
      </c>
      <c r="B69" s="218" t="str">
        <f>'Custom cases'!D70</f>
        <v>Custom_Fault_2_0.20pu_SCR_5</v>
      </c>
      <c r="C69" s="401"/>
      <c r="D69" s="203" t="s">
        <v>10</v>
      </c>
    </row>
    <row r="70" spans="1:4" x14ac:dyDescent="0.25">
      <c r="A70" s="217">
        <v>4069</v>
      </c>
      <c r="B70" s="218" t="str">
        <f>'Custom cases'!D71</f>
        <v>Custom_Fault_2_0.20pu_SCR_6</v>
      </c>
      <c r="C70" s="401"/>
      <c r="D70" s="203" t="s">
        <v>10</v>
      </c>
    </row>
    <row r="71" spans="1:4" x14ac:dyDescent="0.25">
      <c r="A71" s="217">
        <v>4070</v>
      </c>
      <c r="B71" s="218" t="str">
        <f>'Custom cases'!D72</f>
        <v>Custom_Fault_3_0.70pu_SCR_2</v>
      </c>
      <c r="C71" s="401"/>
      <c r="D71" s="203" t="s">
        <v>10</v>
      </c>
    </row>
    <row r="72" spans="1:4" x14ac:dyDescent="0.25">
      <c r="A72" s="217">
        <v>4071</v>
      </c>
      <c r="B72" s="218" t="str">
        <f>'Custom cases'!D73</f>
        <v>Custom_Fault_3_0.70pu_SCR_3</v>
      </c>
      <c r="C72" s="401"/>
      <c r="D72" s="203" t="s">
        <v>10</v>
      </c>
    </row>
    <row r="73" spans="1:4" x14ac:dyDescent="0.25">
      <c r="A73" s="217">
        <v>4072</v>
      </c>
      <c r="B73" s="218" t="str">
        <f>'Custom cases'!D74</f>
        <v>Custom_Fault_3_0.70pu_SCR_4</v>
      </c>
      <c r="C73" s="401"/>
      <c r="D73" s="203" t="s">
        <v>10</v>
      </c>
    </row>
    <row r="74" spans="1:4" x14ac:dyDescent="0.25">
      <c r="A74" s="217">
        <v>4073</v>
      </c>
      <c r="B74" s="218" t="str">
        <f>'Custom cases'!D75</f>
        <v>Custom_Fault_3_0.70pu_SCR_5</v>
      </c>
      <c r="C74" s="401"/>
      <c r="D74" s="203" t="s">
        <v>10</v>
      </c>
    </row>
    <row r="75" spans="1:4" x14ac:dyDescent="0.25">
      <c r="A75" s="217">
        <v>4074</v>
      </c>
      <c r="B75" s="218" t="str">
        <f>'Custom cases'!D76</f>
        <v>Custom_Fault_3_0.70pu_SCR_6</v>
      </c>
      <c r="C75" s="401"/>
      <c r="D75" s="203" t="s">
        <v>10</v>
      </c>
    </row>
    <row r="76" spans="1:4" x14ac:dyDescent="0.25">
      <c r="A76" s="217">
        <v>4075</v>
      </c>
      <c r="B76" s="218" t="str">
        <f>'Custom cases'!D77</f>
        <v>Custom_Fault_2_0.70pu_SCR_2</v>
      </c>
      <c r="C76" s="401"/>
      <c r="D76" s="203" t="s">
        <v>10</v>
      </c>
    </row>
    <row r="77" spans="1:4" x14ac:dyDescent="0.25">
      <c r="A77" s="217">
        <v>4076</v>
      </c>
      <c r="B77" s="218" t="str">
        <f>'Custom cases'!D78</f>
        <v>Custom_Fault_2_0.70pu_SCR_3</v>
      </c>
      <c r="C77" s="401"/>
      <c r="D77" s="203" t="s">
        <v>10</v>
      </c>
    </row>
    <row r="78" spans="1:4" x14ac:dyDescent="0.25">
      <c r="A78" s="217">
        <v>4077</v>
      </c>
      <c r="B78" s="218" t="str">
        <f>'Custom cases'!D79</f>
        <v>Custom_Fault_2_0.70pu_SCR_4</v>
      </c>
      <c r="C78" s="401"/>
      <c r="D78" s="203" t="s">
        <v>10</v>
      </c>
    </row>
    <row r="79" spans="1:4" x14ac:dyDescent="0.25">
      <c r="A79" s="217">
        <v>4078</v>
      </c>
      <c r="B79" s="218" t="str">
        <f>'Custom cases'!D80</f>
        <v>Custom_Fault_2_0.70pu_SCR_5</v>
      </c>
      <c r="C79" s="401"/>
      <c r="D79" s="203" t="s">
        <v>10</v>
      </c>
    </row>
    <row r="80" spans="1:4" ht="15.75" thickBot="1" x14ac:dyDescent="0.3">
      <c r="A80" s="219">
        <v>4079</v>
      </c>
      <c r="B80" s="220" t="str">
        <f>'Custom cases'!D81</f>
        <v>Custom_Fault_2_0.70pu_SCR_6</v>
      </c>
      <c r="C80" s="402"/>
      <c r="D80" s="204" t="s">
        <v>10</v>
      </c>
    </row>
    <row r="81" spans="1:4" x14ac:dyDescent="0.25">
      <c r="A81" s="193">
        <v>4080</v>
      </c>
      <c r="B81" s="209" t="str">
        <f>'Custom cases'!D82</f>
        <v>Custom_Fault_3_0.20pu_Duration_80</v>
      </c>
      <c r="C81" s="400" t="s">
        <v>533</v>
      </c>
      <c r="D81" s="139" t="s">
        <v>534</v>
      </c>
    </row>
    <row r="82" spans="1:4" x14ac:dyDescent="0.25">
      <c r="A82" s="193">
        <v>4081</v>
      </c>
      <c r="B82" s="209" t="str">
        <f>'Custom cases'!D83</f>
        <v>Custom_Fault_3_0.20pu_Duration_60</v>
      </c>
      <c r="C82" s="401"/>
      <c r="D82" s="203" t="s">
        <v>10</v>
      </c>
    </row>
    <row r="83" spans="1:4" x14ac:dyDescent="0.25">
      <c r="A83" s="193">
        <v>4082</v>
      </c>
      <c r="B83" s="209" t="str">
        <f>'Custom cases'!D84</f>
        <v>Custom_Fault_3_0.20pu_Duration_40</v>
      </c>
      <c r="C83" s="401"/>
      <c r="D83" s="203" t="s">
        <v>10</v>
      </c>
    </row>
    <row r="84" spans="1:4" ht="30" x14ac:dyDescent="0.25">
      <c r="A84" s="193">
        <v>4083</v>
      </c>
      <c r="B84" s="209" t="str">
        <f>'Custom cases'!D85</f>
        <v>Custom_Shift_10_Fault_3_0.20pu</v>
      </c>
      <c r="C84" s="401"/>
      <c r="D84" s="139" t="s">
        <v>535</v>
      </c>
    </row>
    <row r="85" spans="1:4" x14ac:dyDescent="0.25">
      <c r="A85" s="193">
        <v>4084</v>
      </c>
      <c r="B85" s="209" t="str">
        <f>'Custom cases'!D86</f>
        <v>Custom_Shift_20_Fault_3_0.20pu</v>
      </c>
      <c r="C85" s="401"/>
      <c r="D85" s="203" t="s">
        <v>10</v>
      </c>
    </row>
    <row r="86" spans="1:4" x14ac:dyDescent="0.25">
      <c r="A86" s="193">
        <v>4085</v>
      </c>
      <c r="B86" s="209" t="str">
        <f>'Custom cases'!D87</f>
        <v>Custom_Shift_30_Fault_3_0.20pu</v>
      </c>
      <c r="C86" s="401"/>
      <c r="D86" s="203" t="s">
        <v>10</v>
      </c>
    </row>
    <row r="87" spans="1:4" x14ac:dyDescent="0.25">
      <c r="A87" s="193">
        <v>4086</v>
      </c>
      <c r="B87" s="209" t="str">
        <f>'Custom cases'!D88</f>
        <v>Custom_Shift_40_Fault_3_0.20pu</v>
      </c>
      <c r="C87" s="401"/>
      <c r="D87" s="203" t="s">
        <v>10</v>
      </c>
    </row>
    <row r="88" spans="1:4" ht="15.75" thickBot="1" x14ac:dyDescent="0.3">
      <c r="A88" s="202">
        <v>4087</v>
      </c>
      <c r="B88" s="210" t="str">
        <f>'Custom cases'!D89</f>
        <v>Custom_Shift_50_Fault_3_0.20pu</v>
      </c>
      <c r="C88" s="402"/>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8"/>
  <sheetViews>
    <sheetView workbookViewId="0">
      <selection activeCell="F4" sqref="F4"/>
    </sheetView>
  </sheetViews>
  <sheetFormatPr defaultRowHeight="15" x14ac:dyDescent="0.25"/>
  <cols>
    <col min="3" max="3" width="10.28515625" bestFit="1" customWidth="1"/>
  </cols>
  <sheetData>
    <row r="1" spans="1:6" x14ac:dyDescent="0.25">
      <c r="A1" t="s">
        <v>8</v>
      </c>
      <c r="B1" t="s">
        <v>21</v>
      </c>
      <c r="C1" t="s">
        <v>218</v>
      </c>
      <c r="D1" t="s">
        <v>210</v>
      </c>
      <c r="E1" t="b">
        <f>TRUE</f>
        <v>1</v>
      </c>
      <c r="F1" t="s">
        <v>214</v>
      </c>
    </row>
    <row r="2" spans="1:6" x14ac:dyDescent="0.25">
      <c r="A2" t="s">
        <v>35</v>
      </c>
      <c r="B2" t="s">
        <v>110</v>
      </c>
      <c r="C2" t="s">
        <v>219</v>
      </c>
      <c r="D2" t="s">
        <v>211</v>
      </c>
      <c r="E2" t="b">
        <f>FALSE</f>
        <v>0</v>
      </c>
      <c r="F2" t="s">
        <v>215</v>
      </c>
    </row>
    <row r="3" spans="1:6" x14ac:dyDescent="0.25">
      <c r="B3" t="s">
        <v>112</v>
      </c>
      <c r="C3" t="s">
        <v>95</v>
      </c>
      <c r="D3" t="s">
        <v>212</v>
      </c>
      <c r="F3" t="s">
        <v>216</v>
      </c>
    </row>
    <row r="4" spans="1:6" x14ac:dyDescent="0.25">
      <c r="B4" t="s">
        <v>105</v>
      </c>
      <c r="C4" t="s">
        <v>220</v>
      </c>
      <c r="D4" t="s">
        <v>213</v>
      </c>
      <c r="F4" t="s">
        <v>217</v>
      </c>
    </row>
    <row r="5" spans="1:6" x14ac:dyDescent="0.25">
      <c r="B5" t="s">
        <v>321</v>
      </c>
      <c r="C5" t="s">
        <v>317</v>
      </c>
    </row>
    <row r="6" spans="1:6" x14ac:dyDescent="0.25">
      <c r="B6" t="s">
        <v>318</v>
      </c>
      <c r="C6" t="s">
        <v>221</v>
      </c>
    </row>
    <row r="7" spans="1:6" x14ac:dyDescent="0.25">
      <c r="B7" t="s">
        <v>319</v>
      </c>
      <c r="C7" t="s">
        <v>222</v>
      </c>
    </row>
    <row r="8" spans="1:6" x14ac:dyDescent="0.25">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customXml/itemProps2.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3.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Regneark</vt:lpstr>
      </vt:variant>
      <vt:variant>
        <vt:i4>14</vt:i4>
      </vt:variant>
      <vt:variant>
        <vt:lpstr>Navngivne områder</vt:lpstr>
      </vt:variant>
      <vt:variant>
        <vt:i4>77</vt:i4>
      </vt:variant>
    </vt:vector>
  </HeadingPairs>
  <TitlesOfParts>
    <vt:vector size="91"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Casper Vestergård Lindgaard</cp:lastModifiedBy>
  <cp:revision/>
  <dcterms:created xsi:type="dcterms:W3CDTF">2015-06-05T18:19:34Z</dcterms:created>
  <dcterms:modified xsi:type="dcterms:W3CDTF">2026-05-06T08:59:25Z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